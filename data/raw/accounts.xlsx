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 Scoring" sheetId="1" state="visible" r:id="rId3"/>
    <sheet name="Dashboard" sheetId="2" state="visible" r:id="rId4"/>
    <sheet name="Read 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2" authorId="0">
      <text>
        <r>
          <rPr>
            <sz val="10"/>
            <rFont val="Arial"/>
            <family val="2"/>
          </rPr>
          <t xml:space="preserve">Auto-calculated. Score = weighted avg of the five input signals, normalised by total weight. Do not edit. Tier 1&gt;=80, 2=60-79, 3&lt;60.</t>
        </r>
      </text>
    </comment>
    <comment ref="L2" authorId="0">
      <text>
        <r>
          <rPr>
            <sz val="10"/>
            <rFont val="Arial"/>
            <family val="2"/>
          </rPr>
          <t xml:space="preserve">The updater agent overwrites this with the refresh timestamp each run. 'estimate' = starter value not yet refreshed.</t>
        </r>
      </text>
    </comment>
    <comment ref="O2" authorId="0">
      <text>
        <r>
          <rPr>
            <sz val="10"/>
            <rFont val="Arial"/>
            <family val="2"/>
          </rPr>
          <t xml:space="preserve">Edit these five weights to re-prioritise the universe. Scores and tiers recalc automatically; weights are normalised by total so they need not sum to 100%.</t>
        </r>
      </text>
    </comment>
  </commentList>
</comments>
</file>

<file path=xl/sharedStrings.xml><?xml version="1.0" encoding="utf-8"?>
<sst xmlns="http://schemas.openxmlformats.org/spreadsheetml/2006/main" count="879" uniqueCount="397">
  <si>
    <t xml:space="preserve">Account</t>
  </si>
  <si>
    <t xml:space="preserve">Ticker</t>
  </si>
  <si>
    <t xml:space="preserve">Industry</t>
  </si>
  <si>
    <t xml:space="preserve">Sub-Industry</t>
  </si>
  <si>
    <t xml:space="preserve">AI Hiring</t>
  </si>
  <si>
    <t xml:space="preserve">AI Announce</t>
  </si>
  <si>
    <t xml:space="preserve">Cloud</t>
  </si>
  <si>
    <t xml:space="preserve">Global</t>
  </si>
  <si>
    <t xml:space="preserve">Data Centre</t>
  </si>
  <si>
    <t xml:space="preserve">Score</t>
  </si>
  <si>
    <t xml:space="preserve">Tier</t>
  </si>
  <si>
    <t xml:space="preserve">Last Updated</t>
  </si>
  <si>
    <t xml:space="preserve">MODEL WEIGHTS</t>
  </si>
  <si>
    <t xml:space="preserve">Microsoft</t>
  </si>
  <si>
    <t xml:space="preserve">MSFT</t>
  </si>
  <si>
    <t xml:space="preserve">Technology</t>
  </si>
  <si>
    <t xml:space="preserve">Software &amp; Internet</t>
  </si>
  <si>
    <t xml:space="preserve">estimate</t>
  </si>
  <si>
    <t xml:space="preserve">Alphabet (Google)</t>
  </si>
  <si>
    <t xml:space="preserve">GOOGL</t>
  </si>
  <si>
    <t xml:space="preserve">Amazon</t>
  </si>
  <si>
    <t xml:space="preserve">AMZN</t>
  </si>
  <si>
    <t xml:space="preserve">Meta Platforms</t>
  </si>
  <si>
    <t xml:space="preserve">META</t>
  </si>
  <si>
    <t xml:space="preserve">Apple</t>
  </si>
  <si>
    <t xml:space="preserve">AAPL</t>
  </si>
  <si>
    <t xml:space="preserve">Oracle</t>
  </si>
  <si>
    <t xml:space="preserve">ORCL</t>
  </si>
  <si>
    <t xml:space="preserve">Total</t>
  </si>
  <si>
    <t xml:space="preserve">Salesforce</t>
  </si>
  <si>
    <t xml:space="preserve">CRM</t>
  </si>
  <si>
    <t xml:space="preserve">Adobe</t>
  </si>
  <si>
    <t xml:space="preserve">ADBE</t>
  </si>
  <si>
    <t xml:space="preserve">ServiceNow</t>
  </si>
  <si>
    <t xml:space="preserve">NOW</t>
  </si>
  <si>
    <t xml:space="preserve">SAP</t>
  </si>
  <si>
    <t xml:space="preserve">Workday</t>
  </si>
  <si>
    <t xml:space="preserve">WDAY</t>
  </si>
  <si>
    <t xml:space="preserve">Snowflake</t>
  </si>
  <si>
    <t xml:space="preserve">SNOW</t>
  </si>
  <si>
    <t xml:space="preserve">Datadog</t>
  </si>
  <si>
    <t xml:space="preserve">DDOG</t>
  </si>
  <si>
    <t xml:space="preserve">Palantir</t>
  </si>
  <si>
    <t xml:space="preserve">PLTR</t>
  </si>
  <si>
    <t xml:space="preserve">Atlassian</t>
  </si>
  <si>
    <t xml:space="preserve">TEAM</t>
  </si>
  <si>
    <t xml:space="preserve">Intuit</t>
  </si>
  <si>
    <t xml:space="preserve">INTU</t>
  </si>
  <si>
    <t xml:space="preserve">Shopify</t>
  </si>
  <si>
    <t xml:space="preserve">SHOP</t>
  </si>
  <si>
    <t xml:space="preserve">Uber</t>
  </si>
  <si>
    <t xml:space="preserve">UBER</t>
  </si>
  <si>
    <t xml:space="preserve">NVIDIA</t>
  </si>
  <si>
    <t xml:space="preserve">NVDA</t>
  </si>
  <si>
    <t xml:space="preserve">Semiconductors &amp; Hardware</t>
  </si>
  <si>
    <t xml:space="preserve">AMD</t>
  </si>
  <si>
    <t xml:space="preserve">Intel</t>
  </si>
  <si>
    <t xml:space="preserve">INTC</t>
  </si>
  <si>
    <t xml:space="preserve">Broadcom</t>
  </si>
  <si>
    <t xml:space="preserve">AVGO</t>
  </si>
  <si>
    <t xml:space="preserve">Qualcomm</t>
  </si>
  <si>
    <t xml:space="preserve">QCOM</t>
  </si>
  <si>
    <t xml:space="preserve">Texas Instruments</t>
  </si>
  <si>
    <t xml:space="preserve">TXN</t>
  </si>
  <si>
    <t xml:space="preserve">Micron</t>
  </si>
  <si>
    <t xml:space="preserve">MU</t>
  </si>
  <si>
    <t xml:space="preserve">Dell Technologies</t>
  </si>
  <si>
    <t xml:space="preserve">DELL</t>
  </si>
  <si>
    <t xml:space="preserve">HP Inc.</t>
  </si>
  <si>
    <t xml:space="preserve">HPQ</t>
  </si>
  <si>
    <t xml:space="preserve">Hewlett Packard Enterprise</t>
  </si>
  <si>
    <t xml:space="preserve">HPE</t>
  </si>
  <si>
    <t xml:space="preserve">Applied Materials</t>
  </si>
  <si>
    <t xml:space="preserve">AMAT</t>
  </si>
  <si>
    <t xml:space="preserve">Marvell</t>
  </si>
  <si>
    <t xml:space="preserve">MRVL</t>
  </si>
  <si>
    <t xml:space="preserve">JPMorgan Chase</t>
  </si>
  <si>
    <t xml:space="preserve">JPM</t>
  </si>
  <si>
    <t xml:space="preserve">Financial Services</t>
  </si>
  <si>
    <t xml:space="preserve">Banks</t>
  </si>
  <si>
    <t xml:space="preserve">Bank of America</t>
  </si>
  <si>
    <t xml:space="preserve">BAC</t>
  </si>
  <si>
    <t xml:space="preserve">Wells Fargo</t>
  </si>
  <si>
    <t xml:space="preserve">WFC</t>
  </si>
  <si>
    <t xml:space="preserve">Citigroup</t>
  </si>
  <si>
    <t xml:space="preserve">C</t>
  </si>
  <si>
    <t xml:space="preserve">Goldman Sachs</t>
  </si>
  <si>
    <t xml:space="preserve">GS</t>
  </si>
  <si>
    <t xml:space="preserve">Morgan Stanley</t>
  </si>
  <si>
    <t xml:space="preserve">MS</t>
  </si>
  <si>
    <t xml:space="preserve">U.S. Bancorp</t>
  </si>
  <si>
    <t xml:space="preserve">USB</t>
  </si>
  <si>
    <t xml:space="preserve">PNC Financial</t>
  </si>
  <si>
    <t xml:space="preserve">PNC</t>
  </si>
  <si>
    <t xml:space="preserve">Truist</t>
  </si>
  <si>
    <t xml:space="preserve">TFC</t>
  </si>
  <si>
    <t xml:space="preserve">Capital One</t>
  </si>
  <si>
    <t xml:space="preserve">COF</t>
  </si>
  <si>
    <t xml:space="preserve">Charles Schwab</t>
  </si>
  <si>
    <t xml:space="preserve">SCHW</t>
  </si>
  <si>
    <t xml:space="preserve">TD Bank Group</t>
  </si>
  <si>
    <t xml:space="preserve">TD</t>
  </si>
  <si>
    <t xml:space="preserve">Visa</t>
  </si>
  <si>
    <t xml:space="preserve">V</t>
  </si>
  <si>
    <t xml:space="preserve">Payments &amp; Fintech</t>
  </si>
  <si>
    <t xml:space="preserve">Mastercard</t>
  </si>
  <si>
    <t xml:space="preserve">MA</t>
  </si>
  <si>
    <t xml:space="preserve">American Express</t>
  </si>
  <si>
    <t xml:space="preserve">AXP</t>
  </si>
  <si>
    <t xml:space="preserve">PayPal</t>
  </si>
  <si>
    <t xml:space="preserve">PYPL</t>
  </si>
  <si>
    <t xml:space="preserve">Block</t>
  </si>
  <si>
    <t xml:space="preserve">SQ</t>
  </si>
  <si>
    <t xml:space="preserve">Fiserv</t>
  </si>
  <si>
    <t xml:space="preserve">FI</t>
  </si>
  <si>
    <t xml:space="preserve">Global Payments</t>
  </si>
  <si>
    <t xml:space="preserve">GPN</t>
  </si>
  <si>
    <t xml:space="preserve">BlackRock</t>
  </si>
  <si>
    <t xml:space="preserve">BLK</t>
  </si>
  <si>
    <t xml:space="preserve">Asset Mgmt &amp; Insurance</t>
  </si>
  <si>
    <t xml:space="preserve">Berkshire Hathaway</t>
  </si>
  <si>
    <t xml:space="preserve">BRK.B</t>
  </si>
  <si>
    <t xml:space="preserve">Prudential Financial</t>
  </si>
  <si>
    <t xml:space="preserve">PRU</t>
  </si>
  <si>
    <t xml:space="preserve">MetLife</t>
  </si>
  <si>
    <t xml:space="preserve">MET</t>
  </si>
  <si>
    <t xml:space="preserve">Chubb</t>
  </si>
  <si>
    <t xml:space="preserve">CB</t>
  </si>
  <si>
    <t xml:space="preserve">Progressive</t>
  </si>
  <si>
    <t xml:space="preserve">PGR</t>
  </si>
  <si>
    <t xml:space="preserve">Allstate</t>
  </si>
  <si>
    <t xml:space="preserve">ALL</t>
  </si>
  <si>
    <t xml:space="preserve">AIG</t>
  </si>
  <si>
    <t xml:space="preserve">Marsh McLennan</t>
  </si>
  <si>
    <t xml:space="preserve">MMC</t>
  </si>
  <si>
    <t xml:space="preserve">Aon</t>
  </si>
  <si>
    <t xml:space="preserve">AON</t>
  </si>
  <si>
    <t xml:space="preserve">Eli Lilly</t>
  </si>
  <si>
    <t xml:space="preserve">LLY</t>
  </si>
  <si>
    <t xml:space="preserve">Healthcare</t>
  </si>
  <si>
    <t xml:space="preserve">Pharma &amp; Biotech</t>
  </si>
  <si>
    <t xml:space="preserve">Pfizer</t>
  </si>
  <si>
    <t xml:space="preserve">PFE</t>
  </si>
  <si>
    <t xml:space="preserve">Johnson &amp; Johnson</t>
  </si>
  <si>
    <t xml:space="preserve">JNJ</t>
  </si>
  <si>
    <t xml:space="preserve">Merck</t>
  </si>
  <si>
    <t xml:space="preserve">MRK</t>
  </si>
  <si>
    <t xml:space="preserve">AbbVie</t>
  </si>
  <si>
    <t xml:space="preserve">ABBV</t>
  </si>
  <si>
    <t xml:space="preserve">Bristol Myers Squibb</t>
  </si>
  <si>
    <t xml:space="preserve">BMY</t>
  </si>
  <si>
    <t xml:space="preserve">Amgen</t>
  </si>
  <si>
    <t xml:space="preserve">AMGN</t>
  </si>
  <si>
    <t xml:space="preserve">Gilead Sciences</t>
  </si>
  <si>
    <t xml:space="preserve">GILD</t>
  </si>
  <si>
    <t xml:space="preserve">Moderna</t>
  </si>
  <si>
    <t xml:space="preserve">MRNA</t>
  </si>
  <si>
    <t xml:space="preserve">Regeneron</t>
  </si>
  <si>
    <t xml:space="preserve">REGN</t>
  </si>
  <si>
    <t xml:space="preserve">Vertex Pharmaceuticals</t>
  </si>
  <si>
    <t xml:space="preserve">VRTX</t>
  </si>
  <si>
    <t xml:space="preserve">Thermo Fisher Scientific</t>
  </si>
  <si>
    <t xml:space="preserve">TMO</t>
  </si>
  <si>
    <t xml:space="preserve">UnitedHealth Group</t>
  </si>
  <si>
    <t xml:space="preserve">UNH</t>
  </si>
  <si>
    <t xml:space="preserve">Payers, Providers &amp; MedTech</t>
  </si>
  <si>
    <t xml:space="preserve">Elevance Health</t>
  </si>
  <si>
    <t xml:space="preserve">ELV</t>
  </si>
  <si>
    <t xml:space="preserve">Cigna</t>
  </si>
  <si>
    <t xml:space="preserve">CI</t>
  </si>
  <si>
    <t xml:space="preserve">CVS Health</t>
  </si>
  <si>
    <t xml:space="preserve">CVS</t>
  </si>
  <si>
    <t xml:space="preserve">HCA Healthcare</t>
  </si>
  <si>
    <t xml:space="preserve">HCA</t>
  </si>
  <si>
    <t xml:space="preserve">Humana</t>
  </si>
  <si>
    <t xml:space="preserve">HUM</t>
  </si>
  <si>
    <t xml:space="preserve">Medtronic</t>
  </si>
  <si>
    <t xml:space="preserve">MDT</t>
  </si>
  <si>
    <t xml:space="preserve">Abbott Laboratories</t>
  </si>
  <si>
    <t xml:space="preserve">ABT</t>
  </si>
  <si>
    <t xml:space="preserve">Intuitive Surgical</t>
  </si>
  <si>
    <t xml:space="preserve">ISRG</t>
  </si>
  <si>
    <t xml:space="preserve">Stryker</t>
  </si>
  <si>
    <t xml:space="preserve">SYK</t>
  </si>
  <si>
    <t xml:space="preserve">Tesla</t>
  </si>
  <si>
    <t xml:space="preserve">TSLA</t>
  </si>
  <si>
    <t xml:space="preserve">Manufacturing &amp; Industrial</t>
  </si>
  <si>
    <t xml:space="preserve">Automotive</t>
  </si>
  <si>
    <t xml:space="preserve">Ford Motor</t>
  </si>
  <si>
    <t xml:space="preserve">F</t>
  </si>
  <si>
    <t xml:space="preserve">General Motors</t>
  </si>
  <si>
    <t xml:space="preserve">GM</t>
  </si>
  <si>
    <t xml:space="preserve">Rivian</t>
  </si>
  <si>
    <t xml:space="preserve">RIVN</t>
  </si>
  <si>
    <t xml:space="preserve">Toyota (Americas)</t>
  </si>
  <si>
    <t xml:space="preserve">TM</t>
  </si>
  <si>
    <t xml:space="preserve">Stellantis</t>
  </si>
  <si>
    <t xml:space="preserve">STLA</t>
  </si>
  <si>
    <t xml:space="preserve">Cummins</t>
  </si>
  <si>
    <t xml:space="preserve">CMI</t>
  </si>
  <si>
    <t xml:space="preserve">Boeing</t>
  </si>
  <si>
    <t xml:space="preserve">BA</t>
  </si>
  <si>
    <t xml:space="preserve">Aerospace &amp; Defense</t>
  </si>
  <si>
    <t xml:space="preserve">Lockheed Martin</t>
  </si>
  <si>
    <t xml:space="preserve">LMT</t>
  </si>
  <si>
    <t xml:space="preserve">RTX</t>
  </si>
  <si>
    <t xml:space="preserve">General Dynamics</t>
  </si>
  <si>
    <t xml:space="preserve">GD</t>
  </si>
  <si>
    <t xml:space="preserve">Northrop Grumman</t>
  </si>
  <si>
    <t xml:space="preserve">NOC</t>
  </si>
  <si>
    <t xml:space="preserve">Honeywell</t>
  </si>
  <si>
    <t xml:space="preserve">HON</t>
  </si>
  <si>
    <t xml:space="preserve">GE Aerospace</t>
  </si>
  <si>
    <t xml:space="preserve">GE</t>
  </si>
  <si>
    <t xml:space="preserve">Caterpillar</t>
  </si>
  <si>
    <t xml:space="preserve">CAT</t>
  </si>
  <si>
    <t xml:space="preserve">Industrial &amp; Materials</t>
  </si>
  <si>
    <t xml:space="preserve">Deere &amp; Company</t>
  </si>
  <si>
    <t xml:space="preserve">DE</t>
  </si>
  <si>
    <t xml:space="preserve">3M</t>
  </si>
  <si>
    <t xml:space="preserve">MMM</t>
  </si>
  <si>
    <t xml:space="preserve">Emerson Electric</t>
  </si>
  <si>
    <t xml:space="preserve">EMR</t>
  </si>
  <si>
    <t xml:space="preserve">Illinois Tool Works</t>
  </si>
  <si>
    <t xml:space="preserve">ITW</t>
  </si>
  <si>
    <t xml:space="preserve">Parker Hannifin</t>
  </si>
  <si>
    <t xml:space="preserve">PH</t>
  </si>
  <si>
    <t xml:space="preserve">Eaton</t>
  </si>
  <si>
    <t xml:space="preserve">ETN</t>
  </si>
  <si>
    <t xml:space="preserve">Rockwell Automation</t>
  </si>
  <si>
    <t xml:space="preserve">ROK</t>
  </si>
  <si>
    <t xml:space="preserve">Siemens (Americas)</t>
  </si>
  <si>
    <t xml:space="preserve">SIEGY</t>
  </si>
  <si>
    <t xml:space="preserve">Schneider Electric</t>
  </si>
  <si>
    <t xml:space="preserve">SBGSY</t>
  </si>
  <si>
    <t xml:space="preserve">Corning</t>
  </si>
  <si>
    <t xml:space="preserve">GLW</t>
  </si>
  <si>
    <t xml:space="preserve">Dow</t>
  </si>
  <si>
    <t xml:space="preserve">DOW</t>
  </si>
  <si>
    <t xml:space="preserve">Walmart</t>
  </si>
  <si>
    <t xml:space="preserve">WMT</t>
  </si>
  <si>
    <t xml:space="preserve">Retail &amp; Consumer</t>
  </si>
  <si>
    <t xml:space="preserve">Retail</t>
  </si>
  <si>
    <t xml:space="preserve">Costco Wholesale</t>
  </si>
  <si>
    <t xml:space="preserve">COST</t>
  </si>
  <si>
    <t xml:space="preserve">The Home Depot</t>
  </si>
  <si>
    <t xml:space="preserve">HD</t>
  </si>
  <si>
    <t xml:space="preserve">Lowe's</t>
  </si>
  <si>
    <t xml:space="preserve">LOW</t>
  </si>
  <si>
    <t xml:space="preserve">Target</t>
  </si>
  <si>
    <t xml:space="preserve">TGT</t>
  </si>
  <si>
    <t xml:space="preserve">TJX Companies</t>
  </si>
  <si>
    <t xml:space="preserve">TJX</t>
  </si>
  <si>
    <t xml:space="preserve">Best Buy</t>
  </si>
  <si>
    <t xml:space="preserve">BBY</t>
  </si>
  <si>
    <t xml:space="preserve">Kroger</t>
  </si>
  <si>
    <t xml:space="preserve">KR</t>
  </si>
  <si>
    <t xml:space="preserve">Walgreens Boots Alliance</t>
  </si>
  <si>
    <t xml:space="preserve">WBA</t>
  </si>
  <si>
    <t xml:space="preserve">Dollar General</t>
  </si>
  <si>
    <t xml:space="preserve">DG</t>
  </si>
  <si>
    <t xml:space="preserve">Procter &amp; Gamble</t>
  </si>
  <si>
    <t xml:space="preserve">PG</t>
  </si>
  <si>
    <t xml:space="preserve">CPG &amp; Food/Beverage</t>
  </si>
  <si>
    <t xml:space="preserve">Coca-Cola</t>
  </si>
  <si>
    <t xml:space="preserve">KO</t>
  </si>
  <si>
    <t xml:space="preserve">PepsiCo</t>
  </si>
  <si>
    <t xml:space="preserve">PEP</t>
  </si>
  <si>
    <t xml:space="preserve">Nike</t>
  </si>
  <si>
    <t xml:space="preserve">NKE</t>
  </si>
  <si>
    <t xml:space="preserve">McDonald's</t>
  </si>
  <si>
    <t xml:space="preserve">MCD</t>
  </si>
  <si>
    <t xml:space="preserve">Starbucks</t>
  </si>
  <si>
    <t xml:space="preserve">SBUX</t>
  </si>
  <si>
    <t xml:space="preserve">Mondelez</t>
  </si>
  <si>
    <t xml:space="preserve">MDLZ</t>
  </si>
  <si>
    <t xml:space="preserve">Colgate-Palmolive</t>
  </si>
  <si>
    <t xml:space="preserve">CL</t>
  </si>
  <si>
    <t xml:space="preserve">Unilever (Americas)</t>
  </si>
  <si>
    <t xml:space="preserve">UL</t>
  </si>
  <si>
    <t xml:space="preserve">Kraft Heinz</t>
  </si>
  <si>
    <t xml:space="preserve">KHC</t>
  </si>
  <si>
    <t xml:space="preserve">Estee Lauder</t>
  </si>
  <si>
    <t xml:space="preserve">EL</t>
  </si>
  <si>
    <t xml:space="preserve">General Mills</t>
  </si>
  <si>
    <t xml:space="preserve">GIS</t>
  </si>
  <si>
    <t xml:space="preserve">Netflix</t>
  </si>
  <si>
    <t xml:space="preserve">NFLX</t>
  </si>
  <si>
    <t xml:space="preserve">Media &amp; Entertainment</t>
  </si>
  <si>
    <t xml:space="preserve">The Walt Disney Company</t>
  </si>
  <si>
    <t xml:space="preserve">DIS</t>
  </si>
  <si>
    <t xml:space="preserve">Comcast (NBCUniversal)</t>
  </si>
  <si>
    <t xml:space="preserve">CMCSA</t>
  </si>
  <si>
    <t xml:space="preserve">Warner Bros. Discovery</t>
  </si>
  <si>
    <t xml:space="preserve">WBD</t>
  </si>
  <si>
    <t xml:space="preserve">Paramount</t>
  </si>
  <si>
    <t xml:space="preserve">PARA</t>
  </si>
  <si>
    <t xml:space="preserve">Fox Corporation</t>
  </si>
  <si>
    <t xml:space="preserve">FOXA</t>
  </si>
  <si>
    <t xml:space="preserve">Electronic Arts</t>
  </si>
  <si>
    <t xml:space="preserve">EA</t>
  </si>
  <si>
    <t xml:space="preserve">Spotify</t>
  </si>
  <si>
    <t xml:space="preserve">SPOT</t>
  </si>
  <si>
    <t xml:space="preserve">ExxonMobil</t>
  </si>
  <si>
    <t xml:space="preserve">XOM</t>
  </si>
  <si>
    <t xml:space="preserve">Energy &amp; Utilities</t>
  </si>
  <si>
    <t xml:space="preserve">Chevron</t>
  </si>
  <si>
    <t xml:space="preserve">CVX</t>
  </si>
  <si>
    <t xml:space="preserve">ConocoPhillips</t>
  </si>
  <si>
    <t xml:space="preserve">COP</t>
  </si>
  <si>
    <t xml:space="preserve">Schlumberger</t>
  </si>
  <si>
    <t xml:space="preserve">SLB</t>
  </si>
  <si>
    <t xml:space="preserve">NextEra Energy</t>
  </si>
  <si>
    <t xml:space="preserve">NEE</t>
  </si>
  <si>
    <t xml:space="preserve">Duke Energy</t>
  </si>
  <si>
    <t xml:space="preserve">DUK</t>
  </si>
  <si>
    <t xml:space="preserve">Southern Company</t>
  </si>
  <si>
    <t xml:space="preserve">SO</t>
  </si>
  <si>
    <t xml:space="preserve">Dominion Energy</t>
  </si>
  <si>
    <t xml:space="preserve">D</t>
  </si>
  <si>
    <t xml:space="preserve">Shell (Americas)</t>
  </si>
  <si>
    <t xml:space="preserve">SHEL</t>
  </si>
  <si>
    <t xml:space="preserve">Phillips 66</t>
  </si>
  <si>
    <t xml:space="preserve">PSX</t>
  </si>
  <si>
    <t xml:space="preserve">UPS</t>
  </si>
  <si>
    <t xml:space="preserve">Logistics &amp; Transportation</t>
  </si>
  <si>
    <t xml:space="preserve">FedEx</t>
  </si>
  <si>
    <t xml:space="preserve">FDX</t>
  </si>
  <si>
    <t xml:space="preserve">Union Pacific</t>
  </si>
  <si>
    <t xml:space="preserve">UNP</t>
  </si>
  <si>
    <t xml:space="preserve">Delta Air Lines</t>
  </si>
  <si>
    <t xml:space="preserve">DAL</t>
  </si>
  <si>
    <t xml:space="preserve">American Airlines</t>
  </si>
  <si>
    <t xml:space="preserve">AAL</t>
  </si>
  <si>
    <t xml:space="preserve">United Airlines</t>
  </si>
  <si>
    <t xml:space="preserve">UAL</t>
  </si>
  <si>
    <t xml:space="preserve">C.H. Robinson</t>
  </si>
  <si>
    <t xml:space="preserve">CHRW</t>
  </si>
  <si>
    <t xml:space="preserve">Old Dominion</t>
  </si>
  <si>
    <t xml:space="preserve">ODFL</t>
  </si>
  <si>
    <t xml:space="preserve">Accenture</t>
  </si>
  <si>
    <t xml:space="preserve">ACN</t>
  </si>
  <si>
    <t xml:space="preserve">Professional Services</t>
  </si>
  <si>
    <t xml:space="preserve">Cognizant</t>
  </si>
  <si>
    <t xml:space="preserve">CTSH</t>
  </si>
  <si>
    <t xml:space="preserve">Infosys (Americas)</t>
  </si>
  <si>
    <t xml:space="preserve">INFY</t>
  </si>
  <si>
    <t xml:space="preserve">Booz Allen Hamilton</t>
  </si>
  <si>
    <t xml:space="preserve">BAH</t>
  </si>
  <si>
    <t xml:space="preserve">Gartner</t>
  </si>
  <si>
    <t xml:space="preserve">IT</t>
  </si>
  <si>
    <t xml:space="preserve">S&amp;P Global</t>
  </si>
  <si>
    <t xml:space="preserve">SPGI</t>
  </si>
  <si>
    <t xml:space="preserve">AI-Ready Account Intelligence — Summary</t>
  </si>
  <si>
    <t xml:space="preserve">161 strategic Americas accounts across 9 industries. Insert a PivotTable on the Accounts table for sub-industry analysis.</t>
  </si>
  <si>
    <t xml:space="preserve">Avg Readiness</t>
  </si>
  <si>
    <t xml:space="preserve">Accounts</t>
  </si>
  <si>
    <t xml:space="preserve">Tier 1</t>
  </si>
  <si>
    <t xml:space="preserve">Priority Tier</t>
  </si>
  <si>
    <t xml:space="preserve">Tier 1 — engage now</t>
  </si>
  <si>
    <t xml:space="preserve">Tier 2 — nurture</t>
  </si>
  <si>
    <t xml:space="preserve">Tier 3 — monitor</t>
  </si>
  <si>
    <t xml:space="preserve">AI-Ready Account Intelligence — Methodology &amp; Data Provenance</t>
  </si>
  <si>
    <t xml:space="preserve">IMPORTANT — where the starter numbers come from</t>
  </si>
  <si>
    <t xml:space="preserve">Not measured data</t>
  </si>
  <si>
    <t xml:space="preserve">The factor scores shipped in this file are ILLUSTRATIVE STARTER VALUES, not researched or scraped figures. Do not present them as measured data.</t>
  </si>
  <si>
    <t xml:space="preserve">How they were generated</t>
  </si>
  <si>
    <t xml:space="preserve">Each sub-industry has a baseline for the five factors; each company receives an AI-leadership adjustment and a global-footprint adjustment. Hyperscalers and a few AI leaders are hard-set. This makes the model functional immediately.</t>
  </si>
  <si>
    <t xml:space="preserve">Replace them</t>
  </si>
  <si>
    <t xml:space="preserve">Use the Collector + Updater agents to overwrite the blue input cells with live signals. The Last Updated column shows 'estimate' until a row has been refreshed.</t>
  </si>
  <si>
    <t xml:space="preserve">Scoring framework (weights live on Account Scoring, O2:O6)</t>
  </si>
  <si>
    <t xml:space="preserve">AI Hiring — 25%</t>
  </si>
  <si>
    <t xml:space="preserve">AI / ML / networking engineer openings</t>
  </si>
  <si>
    <t xml:space="preserve">AI Announcements — 25%</t>
  </si>
  <si>
    <t xml:space="preserve">Investments, partnerships, NVIDIA deals, new AI products</t>
  </si>
  <si>
    <t xml:space="preserve">Cloud Presence — 20%</t>
  </si>
  <si>
    <t xml:space="preserve">AWS / Azure / GCP adoption depth</t>
  </si>
  <si>
    <t xml:space="preserve">Global Footprint — 20%</t>
  </si>
  <si>
    <t xml:space="preserve">Countries, global operations, emerging markets</t>
  </si>
  <si>
    <t xml:space="preserve">Data Centre Expansion — 10%</t>
  </si>
  <si>
    <t xml:space="preserve">Build-out and capacity signals</t>
  </si>
  <si>
    <t xml:space="preserve">Tiers</t>
  </si>
  <si>
    <t xml:space="preserve">Tier 1 &gt;= 80 (engage now) · Tier 2 60-79 (nurture) · Tier 3 &lt; 60 (monitor)</t>
  </si>
  <si>
    <t xml:space="preserve">Self-updating architecture (two agents)</t>
  </si>
  <si>
    <t xml:space="preserve">Agent 1 — Collector</t>
  </si>
  <si>
    <t xml:space="preserve">Pulls public signals per company (Google News RSS, official IR/press feeds; optional licensed jobs API), scores them, outputs a refresh table. ToS-safe sources only.</t>
  </si>
  <si>
    <t xml:space="preserve">Agent 2 — Updater</t>
  </si>
  <si>
    <t xml:space="preserve">Runs on a schedule, writes the fresh signals into the blue input cells by matching Ticker, and stamps Last Updated. The workbook's own formulas recompute Score/Tier.</t>
  </si>
  <si>
    <t xml:space="preserve">Where it runs</t>
  </si>
  <si>
    <t xml:space="preserve">M365-native: Power Automate (scheduled cloud flow) + Office Scripts — perpetual, browser-only, no desktop. Alternative: Python collector on GitHub Actions / a cloud cron.</t>
  </si>
  <si>
    <t xml:space="preserve">Honest limit</t>
  </si>
  <si>
    <t xml:space="preserve">AI job counts can't be auto-pulled for free (LinkedIn blocks scraping). Use a licensed jobs-data API or keep that one signal manual; everything else auto-refreshes.</t>
  </si>
  <si>
    <t xml:space="preserve">Scope</t>
  </si>
  <si>
    <t xml:space="preserve">Excluded</t>
  </si>
  <si>
    <t xml:space="preserve">Direct network competitors (Cisco, Juniper, Lumen, AT&amp;T, Verizon, NTT, Orange) and pure carriers are excluded — competitive accounts, not sales targets.</t>
  </si>
  <si>
    <t xml:space="preserve">Universe</t>
  </si>
  <si>
    <t xml:space="preserve">161 large Americas-relevant enterprises across 9 industries / 16 sub-industries.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</si>
</sst>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5"/>
      <color rgb="FF0E1726"/>
      <name val="Arial"/>
      <family val="0"/>
      <charset val="1"/>
    </font>
    <font>
      <sz val="10"/>
      <color rgb="FF5A6678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E7A55"/>
      <name val="Arial"/>
      <family val="0"/>
      <charset val="1"/>
    </font>
    <font>
      <b val="true"/>
      <sz val="11"/>
      <color rgb="FF9A6614"/>
      <name val="Arial"/>
      <family val="0"/>
      <charset val="1"/>
    </font>
    <font>
      <b val="true"/>
      <sz val="11"/>
      <color rgb="FF5A66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0E1726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sz val="11"/>
      <color rgb="FF3333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1726"/>
        <bgColor rgb="FF000000"/>
      </patternFill>
    </fill>
    <fill>
      <patternFill patternType="solid">
        <fgColor rgb="FFFFF6CC"/>
        <bgColor rgb="FFFBF1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BE4"/>
      </left>
      <right style="thin">
        <color rgb="FFD6DBE4"/>
      </right>
      <top style="thin">
        <color rgb="FFD6DBE4"/>
      </top>
      <bottom style="thin">
        <color rgb="FFD6DB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E17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4F6EE"/>
          <bgColor rgb="FF000000"/>
        </patternFill>
      </fill>
    </dxf>
    <dxf>
      <fill>
        <patternFill patternType="solid">
          <fgColor rgb="FFEDF0F4"/>
          <bgColor rgb="FF000000"/>
        </patternFill>
      </fill>
    </dxf>
    <dxf>
      <fill>
        <patternFill patternType="solid">
          <fgColor rgb="FFFBF1DD"/>
          <bgColor rgb="FF000000"/>
        </patternFill>
      </fill>
    </dxf>
    <dxf>
      <fill>
        <patternFill patternType="solid">
          <fgColor rgb="FF0E7A55"/>
          <bgColor rgb="FF000000"/>
        </patternFill>
      </fill>
    </dxf>
    <dxf>
      <fill>
        <patternFill patternType="solid">
          <fgColor rgb="FF5A6678"/>
          <bgColor rgb="FF000000"/>
        </patternFill>
      </fill>
    </dxf>
    <dxf>
      <fill>
        <patternFill patternType="solid">
          <fgColor rgb="FF9A6614"/>
          <bgColor rgb="FF000000"/>
        </patternFill>
      </fill>
    </dxf>
    <dxf>
      <font>
        <name val="Arial"/>
        <charset val="1"/>
        <family val="0"/>
        <b val="1"/>
        <color rgb="FF0E7A55"/>
      </font>
      <fill>
        <patternFill>
          <bgColor rgb="FFE4F6EE"/>
        </patternFill>
      </fill>
    </dxf>
    <dxf>
      <font>
        <name val="Arial"/>
        <charset val="1"/>
        <family val="0"/>
        <b val="1"/>
        <color rgb="FF9A6614"/>
      </font>
      <fill>
        <patternFill>
          <bgColor rgb="FFFBF1DD"/>
        </patternFill>
      </fill>
    </dxf>
    <dxf>
      <font>
        <name val="Arial"/>
        <charset val="1"/>
        <family val="0"/>
        <b val="1"/>
        <color rgb="FF5A6678"/>
      </font>
      <fill>
        <patternFill>
          <bgColor rgb="FFEDF0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614"/>
      <rgbColor rgb="FF800080"/>
      <rgbColor rgb="FF0E7A55"/>
      <rgbColor rgb="FFD9D9D9"/>
      <rgbColor rgb="FF878787"/>
      <rgbColor rgb="FF9999FF"/>
      <rgbColor rgb="FFC0504D"/>
      <rgbColor rgb="FFFFF6CC"/>
      <rgbColor rgb="FFE4F6EE"/>
      <rgbColor rgb="FF660066"/>
      <rgbColor rgb="FFFF8080"/>
      <rgbColor rgb="FF0066CC"/>
      <rgbColor rgb="FFD6DB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0F4"/>
      <rgbColor rgb="FFCCFFCC"/>
      <rgbColor rgb="FFFBF1DD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A6678"/>
      <rgbColor rgb="FF969696"/>
      <rgbColor rgb="FF003366"/>
      <rgbColor rgb="FF339966"/>
      <rgbColor rgb="FF0E172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Readiness by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Dashboard!B4</c:f>
              <c:strCache>
                <c:ptCount val="1"/>
                <c:pt idx="0">
                  <c:v>Avg Readiness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Dashboard!$A$5:$A$13</c:f>
              <c:strCache>
                <c:ptCount val="9"/>
                <c:pt idx="0">
                  <c:v>Technology</c:v>
                </c:pt>
                <c:pt idx="1">
                  <c:v>Financial Services</c:v>
                </c:pt>
                <c:pt idx="2">
                  <c:v>Healthcare</c:v>
                </c:pt>
                <c:pt idx="3">
                  <c:v>Manufacturing &amp; Industrial</c:v>
                </c:pt>
                <c:pt idx="4">
                  <c:v>Retail &amp; Consumer</c:v>
                </c:pt>
                <c:pt idx="5">
                  <c:v>Media &amp; Entertainment</c:v>
                </c:pt>
                <c:pt idx="6">
                  <c:v>Energy &amp; Utilities</c:v>
                </c:pt>
                <c:pt idx="7">
                  <c:v>Logistics &amp; Transportation</c:v>
                </c:pt>
                <c:pt idx="8">
                  <c:v>Professional Services</c:v>
                </c:pt>
              </c:strCache>
            </c:strRef>
          </c:cat>
          <c:val>
            <c:numRef>
              <c:f>Dashboard!$B$5:$B$13</c:f>
              <c:numCache>
                <c:formatCode>General</c:formatCode>
                <c:ptCount val="9"/>
                <c:pt idx="0">
                  <c:v>89</c:v>
                </c:pt>
                <c:pt idx="1">
                  <c:v>75</c:v>
                </c:pt>
                <c:pt idx="2">
                  <c:v>72</c:v>
                </c:pt>
                <c:pt idx="3">
                  <c:v>74</c:v>
                </c:pt>
                <c:pt idx="4">
                  <c:v>67</c:v>
                </c:pt>
                <c:pt idx="5">
                  <c:v>75</c:v>
                </c:pt>
                <c:pt idx="6">
                  <c:v>64</c:v>
                </c:pt>
                <c:pt idx="7">
                  <c:v>65</c:v>
                </c:pt>
                <c:pt idx="8">
                  <c:v>82</c:v>
                </c:pt>
              </c:numCache>
            </c:numRef>
          </c:val>
        </c:ser>
        <c:gapWidth val="150"/>
        <c:overlap val="0"/>
        <c:axId val="84000623"/>
        <c:axId val="88456779"/>
      </c:barChart>
      <c:catAx>
        <c:axId val="8400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56779"/>
        <c:crosses val="autoZero"/>
        <c:auto val="1"/>
        <c:lblAlgn val="ctr"/>
        <c:lblOffset val="100"/>
        <c:noMultiLvlLbl val="0"/>
      </c:catAx>
      <c:valAx>
        <c:axId val="88456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006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Accounts by Priority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Dashboard!B16</c:f>
              <c:strCache>
                <c:ptCount val="1"/>
                <c:pt idx="0">
                  <c:v>Accounts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Dashboard!$A$17:$A$19</c:f>
              <c:strCache>
                <c:ptCount val="3"/>
                <c:pt idx="0">
                  <c:v>Tier 1 — engage now</c:v>
                </c:pt>
                <c:pt idx="1">
                  <c:v>Tier 2 — nurture</c:v>
                </c:pt>
                <c:pt idx="2">
                  <c:v>Tier 3 — monitor</c:v>
                </c:pt>
              </c:strCache>
            </c:strRef>
          </c:cat>
          <c:val>
            <c:numRef>
              <c:f>Dashboard!$B$17:$B$19</c:f>
              <c:numCache>
                <c:formatCode>General</c:formatCode>
                <c:ptCount val="3"/>
                <c:pt idx="0">
                  <c:v>47</c:v>
                </c:pt>
                <c:pt idx="1">
                  <c:v>100</c:v>
                </c:pt>
                <c:pt idx="2">
                  <c:v>14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145440</xdr:rowOff>
    </xdr:from>
    <xdr:to>
      <xdr:col>14</xdr:col>
      <xdr:colOff>255960</xdr:colOff>
      <xdr:row>19</xdr:row>
      <xdr:rowOff>146880</xdr:rowOff>
    </xdr:to>
    <xdr:graphicFrame>
      <xdr:nvGraphicFramePr>
        <xdr:cNvPr id="0" name="Chart 1"/>
        <xdr:cNvGraphicFramePr/>
      </xdr:nvGraphicFramePr>
      <xdr:xfrm>
        <a:off x="547488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145440</xdr:rowOff>
    </xdr:from>
    <xdr:to>
      <xdr:col>10</xdr:col>
      <xdr:colOff>542160</xdr:colOff>
      <xdr:row>35</xdr:row>
      <xdr:rowOff>167760</xdr:rowOff>
    </xdr:to>
    <xdr:graphicFrame>
      <xdr:nvGraphicFramePr>
        <xdr:cNvPr id="1" name="Chart 2"/>
        <xdr:cNvGraphicFramePr/>
      </xdr:nvGraphicFramePr>
      <xdr:xfrm>
        <a:off x="5474880" y="40006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ccounts" displayName="Accounts" ref="A1:L162" headerRowCount="1" totalsRowCount="0" totalsRowShown="0">
  <autoFilter ref="A1:L162"/>
  <tableColumns count="12">
    <tableColumn id="1" name="Account"/>
    <tableColumn id="2" name="Ticker"/>
    <tableColumn id="3" name="Industry"/>
    <tableColumn id="4" name="Sub-Industry"/>
    <tableColumn id="5" name="AI Hiring"/>
    <tableColumn id="6" name="AI Announce"/>
    <tableColumn id="7" name="Cloud"/>
    <tableColumn id="8" name="Global"/>
    <tableColumn id="9" name="Data Centre"/>
    <tableColumn id="10" name="Score"/>
    <tableColumn id="11" name="Tier"/>
    <tableColumn id="12" name="Last Updat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9"/>
    <col collapsed="false" customWidth="true" hidden="false" outlineLevel="0" max="9" min="9" style="0" width="13"/>
    <col collapsed="false" customWidth="true" hidden="false" outlineLevel="0" max="11" min="10" style="0" width="9"/>
    <col collapsed="false" customWidth="true" hidden="false" outlineLevel="0" max="12" min="12" style="0" width="14"/>
    <col collapsed="false" customWidth="true" hidden="false" outlineLevel="0" max="13" min="13" style="0" width="2"/>
    <col collapsed="false" customWidth="true" hidden="false" outlineLevel="0" max="14" min="14" style="0" width="15"/>
    <col collapsed="false" customWidth="true" hidden="false" outlineLevel="0" max="15" min="15" style="0" width="9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3" t="s">
        <v>12</v>
      </c>
      <c r="O1" s="4"/>
    </row>
    <row r="2" customFormat="false" ht="15" hidden="false" customHeight="false" outlineLevel="0" collapsed="false">
      <c r="A2" s="5" t="s">
        <v>13</v>
      </c>
      <c r="B2" s="6" t="s">
        <v>14</v>
      </c>
      <c r="C2" s="7" t="s">
        <v>15</v>
      </c>
      <c r="D2" s="7" t="s">
        <v>16</v>
      </c>
      <c r="E2" s="8" t="n">
        <v>100</v>
      </c>
      <c r="F2" s="8" t="n">
        <v>100</v>
      </c>
      <c r="G2" s="8" t="n">
        <v>100</v>
      </c>
      <c r="H2" s="8" t="n">
        <v>100</v>
      </c>
      <c r="I2" s="8" t="n">
        <v>100</v>
      </c>
      <c r="J2" s="9" t="n">
        <f aca="false">ROUND((E2*$O$2+F2*$O$3+G2*$O$4+H2*$O$5+I2*$O$6)/SUM($O$2:$O$6),0)</f>
        <v>100</v>
      </c>
      <c r="K2" s="6" t="str">
        <f aca="false">IF(J2&gt;=80,"Tier 1",IF(J2&gt;=60,"Tier 2","Tier 3"))</f>
        <v>Tier 1</v>
      </c>
      <c r="L2" s="6" t="s">
        <v>17</v>
      </c>
      <c r="N2" s="5" t="s">
        <v>4</v>
      </c>
      <c r="O2" s="10" t="n">
        <v>0.25</v>
      </c>
    </row>
    <row r="3" customFormat="false" ht="15" hidden="false" customHeight="false" outlineLevel="0" collapsed="false">
      <c r="A3" s="5" t="s">
        <v>18</v>
      </c>
      <c r="B3" s="6" t="s">
        <v>19</v>
      </c>
      <c r="C3" s="7" t="s">
        <v>15</v>
      </c>
      <c r="D3" s="7" t="s">
        <v>16</v>
      </c>
      <c r="E3" s="8" t="n">
        <v>100</v>
      </c>
      <c r="F3" s="8" t="n">
        <v>100</v>
      </c>
      <c r="G3" s="8" t="n">
        <v>98</v>
      </c>
      <c r="H3" s="8" t="n">
        <v>100</v>
      </c>
      <c r="I3" s="8" t="n">
        <v>98</v>
      </c>
      <c r="J3" s="9" t="n">
        <f aca="false">ROUND((E3*$O$2+F3*$O$3+G3*$O$4+H3*$O$5+I3*$O$6)/SUM($O$2:$O$6),0)</f>
        <v>99</v>
      </c>
      <c r="K3" s="6" t="str">
        <f aca="false">IF(J3&gt;=80,"Tier 1",IF(J3&gt;=60,"Tier 2","Tier 3"))</f>
        <v>Tier 1</v>
      </c>
      <c r="L3" s="6" t="s">
        <v>17</v>
      </c>
      <c r="N3" s="5" t="s">
        <v>5</v>
      </c>
      <c r="O3" s="10" t="n">
        <v>0.25</v>
      </c>
    </row>
    <row r="4" customFormat="false" ht="15" hidden="false" customHeight="false" outlineLevel="0" collapsed="false">
      <c r="A4" s="5" t="s">
        <v>20</v>
      </c>
      <c r="B4" s="6" t="s">
        <v>21</v>
      </c>
      <c r="C4" s="7" t="s">
        <v>15</v>
      </c>
      <c r="D4" s="7" t="s">
        <v>16</v>
      </c>
      <c r="E4" s="8" t="n">
        <v>100</v>
      </c>
      <c r="F4" s="8" t="n">
        <v>100</v>
      </c>
      <c r="G4" s="8" t="n">
        <v>100</v>
      </c>
      <c r="H4" s="8" t="n">
        <v>98</v>
      </c>
      <c r="I4" s="8" t="n">
        <v>100</v>
      </c>
      <c r="J4" s="9" t="n">
        <f aca="false">ROUND((E4*$O$2+F4*$O$3+G4*$O$4+H4*$O$5+I4*$O$6)/SUM($O$2:$O$6),0)</f>
        <v>100</v>
      </c>
      <c r="K4" s="6" t="str">
        <f aca="false">IF(J4&gt;=80,"Tier 1",IF(J4&gt;=60,"Tier 2","Tier 3"))</f>
        <v>Tier 1</v>
      </c>
      <c r="L4" s="6" t="s">
        <v>17</v>
      </c>
      <c r="N4" s="5" t="s">
        <v>6</v>
      </c>
      <c r="O4" s="10" t="n">
        <v>0.2</v>
      </c>
    </row>
    <row r="5" customFormat="false" ht="15" hidden="false" customHeight="false" outlineLevel="0" collapsed="false">
      <c r="A5" s="5" t="s">
        <v>22</v>
      </c>
      <c r="B5" s="6" t="s">
        <v>23</v>
      </c>
      <c r="C5" s="7" t="s">
        <v>15</v>
      </c>
      <c r="D5" s="7" t="s">
        <v>16</v>
      </c>
      <c r="E5" s="8" t="n">
        <v>98</v>
      </c>
      <c r="F5" s="8" t="n">
        <v>98</v>
      </c>
      <c r="G5" s="8" t="n">
        <v>88</v>
      </c>
      <c r="H5" s="8" t="n">
        <v>92</v>
      </c>
      <c r="I5" s="8" t="n">
        <v>100</v>
      </c>
      <c r="J5" s="9" t="n">
        <f aca="false">ROUND((E5*$O$2+F5*$O$3+G5*$O$4+H5*$O$5+I5*$O$6)/SUM($O$2:$O$6),0)</f>
        <v>95</v>
      </c>
      <c r="K5" s="6" t="str">
        <f aca="false">IF(J5&gt;=80,"Tier 1",IF(J5&gt;=60,"Tier 2","Tier 3"))</f>
        <v>Tier 1</v>
      </c>
      <c r="L5" s="6" t="s">
        <v>17</v>
      </c>
      <c r="N5" s="5" t="s">
        <v>7</v>
      </c>
      <c r="O5" s="10" t="n">
        <v>0.2</v>
      </c>
    </row>
    <row r="6" customFormat="false" ht="15" hidden="false" customHeight="false" outlineLevel="0" collapsed="false">
      <c r="A6" s="5" t="s">
        <v>24</v>
      </c>
      <c r="B6" s="6" t="s">
        <v>25</v>
      </c>
      <c r="C6" s="7" t="s">
        <v>15</v>
      </c>
      <c r="D6" s="7" t="s">
        <v>16</v>
      </c>
      <c r="E6" s="8" t="n">
        <v>92</v>
      </c>
      <c r="F6" s="8" t="n">
        <v>96</v>
      </c>
      <c r="G6" s="8" t="n">
        <v>98</v>
      </c>
      <c r="H6" s="8" t="n">
        <v>87</v>
      </c>
      <c r="I6" s="8" t="n">
        <v>67</v>
      </c>
      <c r="J6" s="9" t="n">
        <f aca="false">ROUND((E6*$O$2+F6*$O$3+G6*$O$4+H6*$O$5+I6*$O$6)/SUM($O$2:$O$6),0)</f>
        <v>91</v>
      </c>
      <c r="K6" s="6" t="str">
        <f aca="false">IF(J6&gt;=80,"Tier 1",IF(J6&gt;=60,"Tier 2","Tier 3"))</f>
        <v>Tier 1</v>
      </c>
      <c r="L6" s="6" t="s">
        <v>17</v>
      </c>
      <c r="N6" s="5" t="s">
        <v>8</v>
      </c>
      <c r="O6" s="10" t="n">
        <v>0.1</v>
      </c>
    </row>
    <row r="7" customFormat="false" ht="15" hidden="false" customHeight="false" outlineLevel="0" collapsed="false">
      <c r="A7" s="5" t="s">
        <v>26</v>
      </c>
      <c r="B7" s="6" t="s">
        <v>27</v>
      </c>
      <c r="C7" s="7" t="s">
        <v>15</v>
      </c>
      <c r="D7" s="7" t="s">
        <v>16</v>
      </c>
      <c r="E7" s="8" t="n">
        <v>90</v>
      </c>
      <c r="F7" s="8" t="n">
        <v>96</v>
      </c>
      <c r="G7" s="8" t="n">
        <v>96</v>
      </c>
      <c r="H7" s="8" t="n">
        <v>88</v>
      </c>
      <c r="I7" s="8" t="n">
        <v>98</v>
      </c>
      <c r="J7" s="9" t="n">
        <f aca="false">ROUND((E7*$O$2+F7*$O$3+G7*$O$4+H7*$O$5+I7*$O$6)/SUM($O$2:$O$6),0)</f>
        <v>93</v>
      </c>
      <c r="K7" s="6" t="str">
        <f aca="false">IF(J7&gt;=80,"Tier 1",IF(J7&gt;=60,"Tier 2","Tier 3"))</f>
        <v>Tier 1</v>
      </c>
      <c r="L7" s="6" t="s">
        <v>17</v>
      </c>
      <c r="N7" s="11" t="s">
        <v>28</v>
      </c>
      <c r="O7" s="12" t="n">
        <f aca="false">SUM(O2:O6)</f>
        <v>1</v>
      </c>
    </row>
    <row r="8" customFormat="false" ht="15" hidden="false" customHeight="false" outlineLevel="0" collapsed="false">
      <c r="A8" s="5" t="s">
        <v>29</v>
      </c>
      <c r="B8" s="6" t="s">
        <v>30</v>
      </c>
      <c r="C8" s="7" t="s">
        <v>15</v>
      </c>
      <c r="D8" s="7" t="s">
        <v>16</v>
      </c>
      <c r="E8" s="8" t="n">
        <v>92</v>
      </c>
      <c r="F8" s="8" t="n">
        <v>96</v>
      </c>
      <c r="G8" s="8" t="n">
        <v>98</v>
      </c>
      <c r="H8" s="8" t="n">
        <v>87</v>
      </c>
      <c r="I8" s="8" t="n">
        <v>67</v>
      </c>
      <c r="J8" s="9" t="n">
        <f aca="false">ROUND((E8*$O$2+F8*$O$3+G8*$O$4+H8*$O$5+I8*$O$6)/SUM($O$2:$O$6),0)</f>
        <v>91</v>
      </c>
      <c r="K8" s="6" t="str">
        <f aca="false">IF(J8&gt;=80,"Tier 1",IF(J8&gt;=60,"Tier 2","Tier 3"))</f>
        <v>Tier 1</v>
      </c>
      <c r="L8" s="6" t="s">
        <v>17</v>
      </c>
    </row>
    <row r="9" customFormat="false" ht="15" hidden="false" customHeight="false" outlineLevel="0" collapsed="false">
      <c r="A9" s="5" t="s">
        <v>31</v>
      </c>
      <c r="B9" s="6" t="s">
        <v>32</v>
      </c>
      <c r="C9" s="7" t="s">
        <v>15</v>
      </c>
      <c r="D9" s="7" t="s">
        <v>16</v>
      </c>
      <c r="E9" s="8" t="n">
        <v>92</v>
      </c>
      <c r="F9" s="8" t="n">
        <v>96</v>
      </c>
      <c r="G9" s="8" t="n">
        <v>98</v>
      </c>
      <c r="H9" s="8" t="n">
        <v>87</v>
      </c>
      <c r="I9" s="8" t="n">
        <v>67</v>
      </c>
      <c r="J9" s="9" t="n">
        <f aca="false">ROUND((E9*$O$2+F9*$O$3+G9*$O$4+H9*$O$5+I9*$O$6)/SUM($O$2:$O$6),0)</f>
        <v>91</v>
      </c>
      <c r="K9" s="6" t="str">
        <f aca="false">IF(J9&gt;=80,"Tier 1",IF(J9&gt;=60,"Tier 2","Tier 3"))</f>
        <v>Tier 1</v>
      </c>
      <c r="L9" s="6" t="s">
        <v>17</v>
      </c>
    </row>
    <row r="10" customFormat="false" ht="15" hidden="false" customHeight="false" outlineLevel="0" collapsed="false">
      <c r="A10" s="5" t="s">
        <v>33</v>
      </c>
      <c r="B10" s="6" t="s">
        <v>34</v>
      </c>
      <c r="C10" s="7" t="s">
        <v>15</v>
      </c>
      <c r="D10" s="7" t="s">
        <v>16</v>
      </c>
      <c r="E10" s="8" t="n">
        <v>92</v>
      </c>
      <c r="F10" s="8" t="n">
        <v>96</v>
      </c>
      <c r="G10" s="8" t="n">
        <v>98</v>
      </c>
      <c r="H10" s="8" t="n">
        <v>75</v>
      </c>
      <c r="I10" s="8" t="n">
        <v>67</v>
      </c>
      <c r="J10" s="9" t="n">
        <f aca="false">ROUND((E10*$O$2+F10*$O$3+G10*$O$4+H10*$O$5+I10*$O$6)/SUM($O$2:$O$6),0)</f>
        <v>88</v>
      </c>
      <c r="K10" s="6" t="str">
        <f aca="false">IF(J10&gt;=80,"Tier 1",IF(J10&gt;=60,"Tier 2","Tier 3"))</f>
        <v>Tier 1</v>
      </c>
      <c r="L10" s="6" t="s">
        <v>17</v>
      </c>
    </row>
    <row r="11" customFormat="false" ht="15" hidden="false" customHeight="false" outlineLevel="0" collapsed="false">
      <c r="A11" s="5" t="s">
        <v>35</v>
      </c>
      <c r="B11" s="6" t="s">
        <v>35</v>
      </c>
      <c r="C11" s="7" t="s">
        <v>15</v>
      </c>
      <c r="D11" s="7" t="s">
        <v>16</v>
      </c>
      <c r="E11" s="8" t="n">
        <v>92</v>
      </c>
      <c r="F11" s="8" t="n">
        <v>96</v>
      </c>
      <c r="G11" s="8" t="n">
        <v>98</v>
      </c>
      <c r="H11" s="8" t="n">
        <v>87</v>
      </c>
      <c r="I11" s="8" t="n">
        <v>67</v>
      </c>
      <c r="J11" s="9" t="n">
        <f aca="false">ROUND((E11*$O$2+F11*$O$3+G11*$O$4+H11*$O$5+I11*$O$6)/SUM($O$2:$O$6),0)</f>
        <v>91</v>
      </c>
      <c r="K11" s="6" t="str">
        <f aca="false">IF(J11&gt;=80,"Tier 1",IF(J11&gt;=60,"Tier 2","Tier 3"))</f>
        <v>Tier 1</v>
      </c>
      <c r="L11" s="6" t="s">
        <v>17</v>
      </c>
    </row>
    <row r="12" customFormat="false" ht="15" hidden="false" customHeight="false" outlineLevel="0" collapsed="false">
      <c r="A12" s="5" t="s">
        <v>36</v>
      </c>
      <c r="B12" s="6" t="s">
        <v>37</v>
      </c>
      <c r="C12" s="7" t="s">
        <v>15</v>
      </c>
      <c r="D12" s="7" t="s">
        <v>16</v>
      </c>
      <c r="E12" s="8" t="n">
        <v>86</v>
      </c>
      <c r="F12" s="8" t="n">
        <v>88</v>
      </c>
      <c r="G12" s="8" t="n">
        <v>94</v>
      </c>
      <c r="H12" s="8" t="n">
        <v>75</v>
      </c>
      <c r="I12" s="8" t="n">
        <v>59</v>
      </c>
      <c r="J12" s="9" t="n">
        <f aca="false">ROUND((E12*$O$2+F12*$O$3+G12*$O$4+H12*$O$5+I12*$O$6)/SUM($O$2:$O$6),0)</f>
        <v>83</v>
      </c>
      <c r="K12" s="6" t="str">
        <f aca="false">IF(J12&gt;=80,"Tier 1",IF(J12&gt;=60,"Tier 2","Tier 3"))</f>
        <v>Tier 1</v>
      </c>
      <c r="L12" s="6" t="s">
        <v>17</v>
      </c>
    </row>
    <row r="13" customFormat="false" ht="15" hidden="false" customHeight="false" outlineLevel="0" collapsed="false">
      <c r="A13" s="5" t="s">
        <v>38</v>
      </c>
      <c r="B13" s="6" t="s">
        <v>39</v>
      </c>
      <c r="C13" s="7" t="s">
        <v>15</v>
      </c>
      <c r="D13" s="7" t="s">
        <v>16</v>
      </c>
      <c r="E13" s="8" t="n">
        <v>92</v>
      </c>
      <c r="F13" s="8" t="n">
        <v>96</v>
      </c>
      <c r="G13" s="8" t="n">
        <v>98</v>
      </c>
      <c r="H13" s="8" t="n">
        <v>75</v>
      </c>
      <c r="I13" s="8" t="n">
        <v>67</v>
      </c>
      <c r="J13" s="9" t="n">
        <f aca="false">ROUND((E13*$O$2+F13*$O$3+G13*$O$4+H13*$O$5+I13*$O$6)/SUM($O$2:$O$6),0)</f>
        <v>88</v>
      </c>
      <c r="K13" s="6" t="str">
        <f aca="false">IF(J13&gt;=80,"Tier 1",IF(J13&gt;=60,"Tier 2","Tier 3"))</f>
        <v>Tier 1</v>
      </c>
      <c r="L13" s="6" t="s">
        <v>17</v>
      </c>
    </row>
    <row r="14" customFormat="false" ht="15" hidden="false" customHeight="false" outlineLevel="0" collapsed="false">
      <c r="A14" s="5" t="s">
        <v>40</v>
      </c>
      <c r="B14" s="6" t="s">
        <v>41</v>
      </c>
      <c r="C14" s="7" t="s">
        <v>15</v>
      </c>
      <c r="D14" s="7" t="s">
        <v>16</v>
      </c>
      <c r="E14" s="8" t="n">
        <v>86</v>
      </c>
      <c r="F14" s="8" t="n">
        <v>88</v>
      </c>
      <c r="G14" s="8" t="n">
        <v>94</v>
      </c>
      <c r="H14" s="8" t="n">
        <v>75</v>
      </c>
      <c r="I14" s="8" t="n">
        <v>59</v>
      </c>
      <c r="J14" s="9" t="n">
        <f aca="false">ROUND((E14*$O$2+F14*$O$3+G14*$O$4+H14*$O$5+I14*$O$6)/SUM($O$2:$O$6),0)</f>
        <v>83</v>
      </c>
      <c r="K14" s="6" t="str">
        <f aca="false">IF(J14&gt;=80,"Tier 1",IF(J14&gt;=60,"Tier 2","Tier 3"))</f>
        <v>Tier 1</v>
      </c>
      <c r="L14" s="6" t="s">
        <v>17</v>
      </c>
    </row>
    <row r="15" customFormat="false" ht="15" hidden="false" customHeight="false" outlineLevel="0" collapsed="false">
      <c r="A15" s="5" t="s">
        <v>42</v>
      </c>
      <c r="B15" s="6" t="s">
        <v>43</v>
      </c>
      <c r="C15" s="7" t="s">
        <v>15</v>
      </c>
      <c r="D15" s="7" t="s">
        <v>16</v>
      </c>
      <c r="E15" s="8" t="n">
        <v>100</v>
      </c>
      <c r="F15" s="8" t="n">
        <v>100</v>
      </c>
      <c r="G15" s="8" t="n">
        <v>100</v>
      </c>
      <c r="H15" s="8" t="n">
        <v>75</v>
      </c>
      <c r="I15" s="8" t="n">
        <v>85</v>
      </c>
      <c r="J15" s="9" t="n">
        <f aca="false">ROUND((E15*$O$2+F15*$O$3+G15*$O$4+H15*$O$5+I15*$O$6)/SUM($O$2:$O$6),0)</f>
        <v>94</v>
      </c>
      <c r="K15" s="6" t="str">
        <f aca="false">IF(J15&gt;=80,"Tier 1",IF(J15&gt;=60,"Tier 2","Tier 3"))</f>
        <v>Tier 1</v>
      </c>
      <c r="L15" s="6" t="s">
        <v>17</v>
      </c>
    </row>
    <row r="16" customFormat="false" ht="15" hidden="false" customHeight="false" outlineLevel="0" collapsed="false">
      <c r="A16" s="5" t="s">
        <v>44</v>
      </c>
      <c r="B16" s="6" t="s">
        <v>45</v>
      </c>
      <c r="C16" s="7" t="s">
        <v>15</v>
      </c>
      <c r="D16" s="7" t="s">
        <v>16</v>
      </c>
      <c r="E16" s="8" t="n">
        <v>86</v>
      </c>
      <c r="F16" s="8" t="n">
        <v>88</v>
      </c>
      <c r="G16" s="8" t="n">
        <v>94</v>
      </c>
      <c r="H16" s="8" t="n">
        <v>87</v>
      </c>
      <c r="I16" s="8" t="n">
        <v>59</v>
      </c>
      <c r="J16" s="9" t="n">
        <f aca="false">ROUND((E16*$O$2+F16*$O$3+G16*$O$4+H16*$O$5+I16*$O$6)/SUM($O$2:$O$6),0)</f>
        <v>86</v>
      </c>
      <c r="K16" s="6" t="str">
        <f aca="false">IF(J16&gt;=80,"Tier 1",IF(J16&gt;=60,"Tier 2","Tier 3"))</f>
        <v>Tier 1</v>
      </c>
      <c r="L16" s="6" t="s">
        <v>17</v>
      </c>
    </row>
    <row r="17" customFormat="false" ht="15" hidden="false" customHeight="false" outlineLevel="0" collapsed="false">
      <c r="A17" s="5" t="s">
        <v>46</v>
      </c>
      <c r="B17" s="6" t="s">
        <v>47</v>
      </c>
      <c r="C17" s="7" t="s">
        <v>15</v>
      </c>
      <c r="D17" s="7" t="s">
        <v>16</v>
      </c>
      <c r="E17" s="8" t="n">
        <v>86</v>
      </c>
      <c r="F17" s="8" t="n">
        <v>88</v>
      </c>
      <c r="G17" s="8" t="n">
        <v>94</v>
      </c>
      <c r="H17" s="8" t="n">
        <v>75</v>
      </c>
      <c r="I17" s="8" t="n">
        <v>59</v>
      </c>
      <c r="J17" s="9" t="n">
        <f aca="false">ROUND((E17*$O$2+F17*$O$3+G17*$O$4+H17*$O$5+I17*$O$6)/SUM($O$2:$O$6),0)</f>
        <v>83</v>
      </c>
      <c r="K17" s="6" t="str">
        <f aca="false">IF(J17&gt;=80,"Tier 1",IF(J17&gt;=60,"Tier 2","Tier 3"))</f>
        <v>Tier 1</v>
      </c>
      <c r="L17" s="6" t="s">
        <v>17</v>
      </c>
    </row>
    <row r="18" customFormat="false" ht="15" hidden="false" customHeight="false" outlineLevel="0" collapsed="false">
      <c r="A18" s="5" t="s">
        <v>48</v>
      </c>
      <c r="B18" s="6" t="s">
        <v>49</v>
      </c>
      <c r="C18" s="7" t="s">
        <v>15</v>
      </c>
      <c r="D18" s="7" t="s">
        <v>16</v>
      </c>
      <c r="E18" s="8" t="n">
        <v>86</v>
      </c>
      <c r="F18" s="8" t="n">
        <v>88</v>
      </c>
      <c r="G18" s="8" t="n">
        <v>94</v>
      </c>
      <c r="H18" s="8" t="n">
        <v>87</v>
      </c>
      <c r="I18" s="8" t="n">
        <v>59</v>
      </c>
      <c r="J18" s="9" t="n">
        <f aca="false">ROUND((E18*$O$2+F18*$O$3+G18*$O$4+H18*$O$5+I18*$O$6)/SUM($O$2:$O$6),0)</f>
        <v>86</v>
      </c>
      <c r="K18" s="6" t="str">
        <f aca="false">IF(J18&gt;=80,"Tier 1",IF(J18&gt;=60,"Tier 2","Tier 3"))</f>
        <v>Tier 1</v>
      </c>
      <c r="L18" s="6" t="s">
        <v>17</v>
      </c>
    </row>
    <row r="19" customFormat="false" ht="15" hidden="false" customHeight="false" outlineLevel="0" collapsed="false">
      <c r="A19" s="5" t="s">
        <v>50</v>
      </c>
      <c r="B19" s="6" t="s">
        <v>51</v>
      </c>
      <c r="C19" s="7" t="s">
        <v>15</v>
      </c>
      <c r="D19" s="7" t="s">
        <v>16</v>
      </c>
      <c r="E19" s="8" t="n">
        <v>92</v>
      </c>
      <c r="F19" s="8" t="n">
        <v>96</v>
      </c>
      <c r="G19" s="8" t="n">
        <v>98</v>
      </c>
      <c r="H19" s="8" t="n">
        <v>87</v>
      </c>
      <c r="I19" s="8" t="n">
        <v>67</v>
      </c>
      <c r="J19" s="9" t="n">
        <f aca="false">ROUND((E19*$O$2+F19*$O$3+G19*$O$4+H19*$O$5+I19*$O$6)/SUM($O$2:$O$6),0)</f>
        <v>91</v>
      </c>
      <c r="K19" s="6" t="str">
        <f aca="false">IF(J19&gt;=80,"Tier 1",IF(J19&gt;=60,"Tier 2","Tier 3"))</f>
        <v>Tier 1</v>
      </c>
      <c r="L19" s="6" t="s">
        <v>17</v>
      </c>
    </row>
    <row r="20" customFormat="false" ht="15" hidden="false" customHeight="false" outlineLevel="0" collapsed="false">
      <c r="A20" s="5" t="s">
        <v>52</v>
      </c>
      <c r="B20" s="6" t="s">
        <v>53</v>
      </c>
      <c r="C20" s="7" t="s">
        <v>15</v>
      </c>
      <c r="D20" s="7" t="s">
        <v>54</v>
      </c>
      <c r="E20" s="8" t="n">
        <v>96</v>
      </c>
      <c r="F20" s="8" t="n">
        <v>100</v>
      </c>
      <c r="G20" s="8" t="n">
        <v>82</v>
      </c>
      <c r="H20" s="8" t="n">
        <v>86</v>
      </c>
      <c r="I20" s="8" t="n">
        <v>95</v>
      </c>
      <c r="J20" s="9" t="n">
        <f aca="false">ROUND((E20*$O$2+F20*$O$3+G20*$O$4+H20*$O$5+I20*$O$6)/SUM($O$2:$O$6),0)</f>
        <v>92</v>
      </c>
      <c r="K20" s="6" t="str">
        <f aca="false">IF(J20&gt;=80,"Tier 1",IF(J20&gt;=60,"Tier 2","Tier 3"))</f>
        <v>Tier 1</v>
      </c>
      <c r="L20" s="6" t="s">
        <v>17</v>
      </c>
    </row>
    <row r="21" customFormat="false" ht="15" hidden="false" customHeight="false" outlineLevel="0" collapsed="false">
      <c r="A21" s="5" t="s">
        <v>55</v>
      </c>
      <c r="B21" s="6" t="s">
        <v>55</v>
      </c>
      <c r="C21" s="7" t="s">
        <v>15</v>
      </c>
      <c r="D21" s="7" t="s">
        <v>54</v>
      </c>
      <c r="E21" s="8" t="n">
        <v>90</v>
      </c>
      <c r="F21" s="8" t="n">
        <v>96</v>
      </c>
      <c r="G21" s="8" t="n">
        <v>76</v>
      </c>
      <c r="H21" s="8" t="n">
        <v>94</v>
      </c>
      <c r="I21" s="8" t="n">
        <v>84</v>
      </c>
      <c r="J21" s="9" t="n">
        <f aca="false">ROUND((E21*$O$2+F21*$O$3+G21*$O$4+H21*$O$5+I21*$O$6)/SUM($O$2:$O$6),0)</f>
        <v>89</v>
      </c>
      <c r="K21" s="6" t="str">
        <f aca="false">IF(J21&gt;=80,"Tier 1",IF(J21&gt;=60,"Tier 2","Tier 3"))</f>
        <v>Tier 1</v>
      </c>
      <c r="L21" s="6" t="s">
        <v>17</v>
      </c>
    </row>
    <row r="22" customFormat="false" ht="15" hidden="false" customHeight="false" outlineLevel="0" collapsed="false">
      <c r="A22" s="5" t="s">
        <v>56</v>
      </c>
      <c r="B22" s="6" t="s">
        <v>57</v>
      </c>
      <c r="C22" s="7" t="s">
        <v>15</v>
      </c>
      <c r="D22" s="7" t="s">
        <v>54</v>
      </c>
      <c r="E22" s="8" t="n">
        <v>84</v>
      </c>
      <c r="F22" s="8" t="n">
        <v>88</v>
      </c>
      <c r="G22" s="8" t="n">
        <v>72</v>
      </c>
      <c r="H22" s="8" t="n">
        <v>94</v>
      </c>
      <c r="I22" s="8" t="n">
        <v>76</v>
      </c>
      <c r="J22" s="9" t="n">
        <f aca="false">ROUND((E22*$O$2+F22*$O$3+G22*$O$4+H22*$O$5+I22*$O$6)/SUM($O$2:$O$6),0)</f>
        <v>84</v>
      </c>
      <c r="K22" s="6" t="str">
        <f aca="false">IF(J22&gt;=80,"Tier 1",IF(J22&gt;=60,"Tier 2","Tier 3"))</f>
        <v>Tier 1</v>
      </c>
      <c r="L22" s="6" t="s">
        <v>17</v>
      </c>
    </row>
    <row r="23" customFormat="false" ht="15" hidden="false" customHeight="false" outlineLevel="0" collapsed="false">
      <c r="A23" s="5" t="s">
        <v>58</v>
      </c>
      <c r="B23" s="6" t="s">
        <v>59</v>
      </c>
      <c r="C23" s="7" t="s">
        <v>15</v>
      </c>
      <c r="D23" s="7" t="s">
        <v>54</v>
      </c>
      <c r="E23" s="8" t="n">
        <v>90</v>
      </c>
      <c r="F23" s="8" t="n">
        <v>96</v>
      </c>
      <c r="G23" s="8" t="n">
        <v>76</v>
      </c>
      <c r="H23" s="8" t="n">
        <v>94</v>
      </c>
      <c r="I23" s="8" t="n">
        <v>84</v>
      </c>
      <c r="J23" s="9" t="n">
        <f aca="false">ROUND((E23*$O$2+F23*$O$3+G23*$O$4+H23*$O$5+I23*$O$6)/SUM($O$2:$O$6),0)</f>
        <v>89</v>
      </c>
      <c r="K23" s="6" t="str">
        <f aca="false">IF(J23&gt;=80,"Tier 1",IF(J23&gt;=60,"Tier 2","Tier 3"))</f>
        <v>Tier 1</v>
      </c>
      <c r="L23" s="6" t="s">
        <v>17</v>
      </c>
    </row>
    <row r="24" customFormat="false" ht="15" hidden="false" customHeight="false" outlineLevel="0" collapsed="false">
      <c r="A24" s="5" t="s">
        <v>60</v>
      </c>
      <c r="B24" s="6" t="s">
        <v>61</v>
      </c>
      <c r="C24" s="7" t="s">
        <v>15</v>
      </c>
      <c r="D24" s="7" t="s">
        <v>54</v>
      </c>
      <c r="E24" s="8" t="n">
        <v>90</v>
      </c>
      <c r="F24" s="8" t="n">
        <v>96</v>
      </c>
      <c r="G24" s="8" t="n">
        <v>76</v>
      </c>
      <c r="H24" s="8" t="n">
        <v>94</v>
      </c>
      <c r="I24" s="8" t="n">
        <v>84</v>
      </c>
      <c r="J24" s="9" t="n">
        <f aca="false">ROUND((E24*$O$2+F24*$O$3+G24*$O$4+H24*$O$5+I24*$O$6)/SUM($O$2:$O$6),0)</f>
        <v>89</v>
      </c>
      <c r="K24" s="6" t="str">
        <f aca="false">IF(J24&gt;=80,"Tier 1",IF(J24&gt;=60,"Tier 2","Tier 3"))</f>
        <v>Tier 1</v>
      </c>
      <c r="L24" s="6" t="s">
        <v>17</v>
      </c>
    </row>
    <row r="25" customFormat="false" ht="15" hidden="false" customHeight="false" outlineLevel="0" collapsed="false">
      <c r="A25" s="5" t="s">
        <v>62</v>
      </c>
      <c r="B25" s="6" t="s">
        <v>63</v>
      </c>
      <c r="C25" s="7" t="s">
        <v>15</v>
      </c>
      <c r="D25" s="7" t="s">
        <v>54</v>
      </c>
      <c r="E25" s="8" t="n">
        <v>76</v>
      </c>
      <c r="F25" s="8" t="n">
        <v>80</v>
      </c>
      <c r="G25" s="8" t="n">
        <v>68</v>
      </c>
      <c r="H25" s="8" t="n">
        <v>94</v>
      </c>
      <c r="I25" s="8" t="n">
        <v>72</v>
      </c>
      <c r="J25" s="9" t="n">
        <f aca="false">ROUND((E25*$O$2+F25*$O$3+G25*$O$4+H25*$O$5+I25*$O$6)/SUM($O$2:$O$6),0)</f>
        <v>79</v>
      </c>
      <c r="K25" s="6" t="str">
        <f aca="false">IF(J25&gt;=80,"Tier 1",IF(J25&gt;=60,"Tier 2","Tier 3"))</f>
        <v>Tier 2</v>
      </c>
      <c r="L25" s="6" t="s">
        <v>17</v>
      </c>
    </row>
    <row r="26" customFormat="false" ht="15" hidden="false" customHeight="false" outlineLevel="0" collapsed="false">
      <c r="A26" s="5" t="s">
        <v>64</v>
      </c>
      <c r="B26" s="6" t="s">
        <v>65</v>
      </c>
      <c r="C26" s="7" t="s">
        <v>15</v>
      </c>
      <c r="D26" s="7" t="s">
        <v>54</v>
      </c>
      <c r="E26" s="8" t="n">
        <v>84</v>
      </c>
      <c r="F26" s="8" t="n">
        <v>88</v>
      </c>
      <c r="G26" s="8" t="n">
        <v>72</v>
      </c>
      <c r="H26" s="8" t="n">
        <v>94</v>
      </c>
      <c r="I26" s="8" t="n">
        <v>76</v>
      </c>
      <c r="J26" s="9" t="n">
        <f aca="false">ROUND((E26*$O$2+F26*$O$3+G26*$O$4+H26*$O$5+I26*$O$6)/SUM($O$2:$O$6),0)</f>
        <v>84</v>
      </c>
      <c r="K26" s="6" t="str">
        <f aca="false">IF(J26&gt;=80,"Tier 1",IF(J26&gt;=60,"Tier 2","Tier 3"))</f>
        <v>Tier 1</v>
      </c>
      <c r="L26" s="6" t="s">
        <v>17</v>
      </c>
    </row>
    <row r="27" customFormat="false" ht="15" hidden="false" customHeight="false" outlineLevel="0" collapsed="false">
      <c r="A27" s="5" t="s">
        <v>66</v>
      </c>
      <c r="B27" s="6" t="s">
        <v>67</v>
      </c>
      <c r="C27" s="7" t="s">
        <v>15</v>
      </c>
      <c r="D27" s="7" t="s">
        <v>54</v>
      </c>
      <c r="E27" s="8" t="n">
        <v>90</v>
      </c>
      <c r="F27" s="8" t="n">
        <v>96</v>
      </c>
      <c r="G27" s="8" t="n">
        <v>76</v>
      </c>
      <c r="H27" s="8" t="n">
        <v>94</v>
      </c>
      <c r="I27" s="8" t="n">
        <v>84</v>
      </c>
      <c r="J27" s="9" t="n">
        <f aca="false">ROUND((E27*$O$2+F27*$O$3+G27*$O$4+H27*$O$5+I27*$O$6)/SUM($O$2:$O$6),0)</f>
        <v>89</v>
      </c>
      <c r="K27" s="6" t="str">
        <f aca="false">IF(J27&gt;=80,"Tier 1",IF(J27&gt;=60,"Tier 2","Tier 3"))</f>
        <v>Tier 1</v>
      </c>
      <c r="L27" s="6" t="s">
        <v>17</v>
      </c>
    </row>
    <row r="28" customFormat="false" ht="15" hidden="false" customHeight="false" outlineLevel="0" collapsed="false">
      <c r="A28" s="5" t="s">
        <v>68</v>
      </c>
      <c r="B28" s="6" t="s">
        <v>69</v>
      </c>
      <c r="C28" s="7" t="s">
        <v>15</v>
      </c>
      <c r="D28" s="7" t="s">
        <v>54</v>
      </c>
      <c r="E28" s="8" t="n">
        <v>76</v>
      </c>
      <c r="F28" s="8" t="n">
        <v>80</v>
      </c>
      <c r="G28" s="8" t="n">
        <v>68</v>
      </c>
      <c r="H28" s="8" t="n">
        <v>94</v>
      </c>
      <c r="I28" s="8" t="n">
        <v>72</v>
      </c>
      <c r="J28" s="9" t="n">
        <f aca="false">ROUND((E28*$O$2+F28*$O$3+G28*$O$4+H28*$O$5+I28*$O$6)/SUM($O$2:$O$6),0)</f>
        <v>79</v>
      </c>
      <c r="K28" s="6" t="str">
        <f aca="false">IF(J28&gt;=80,"Tier 1",IF(J28&gt;=60,"Tier 2","Tier 3"))</f>
        <v>Tier 2</v>
      </c>
      <c r="L28" s="6" t="s">
        <v>17</v>
      </c>
    </row>
    <row r="29" customFormat="false" ht="15" hidden="false" customHeight="false" outlineLevel="0" collapsed="false">
      <c r="A29" s="5" t="s">
        <v>70</v>
      </c>
      <c r="B29" s="6" t="s">
        <v>71</v>
      </c>
      <c r="C29" s="7" t="s">
        <v>15</v>
      </c>
      <c r="D29" s="7" t="s">
        <v>54</v>
      </c>
      <c r="E29" s="8" t="n">
        <v>90</v>
      </c>
      <c r="F29" s="8" t="n">
        <v>96</v>
      </c>
      <c r="G29" s="8" t="n">
        <v>76</v>
      </c>
      <c r="H29" s="8" t="n">
        <v>94</v>
      </c>
      <c r="I29" s="8" t="n">
        <v>84</v>
      </c>
      <c r="J29" s="9" t="n">
        <f aca="false">ROUND((E29*$O$2+F29*$O$3+G29*$O$4+H29*$O$5+I29*$O$6)/SUM($O$2:$O$6),0)</f>
        <v>89</v>
      </c>
      <c r="K29" s="6" t="str">
        <f aca="false">IF(J29&gt;=80,"Tier 1",IF(J29&gt;=60,"Tier 2","Tier 3"))</f>
        <v>Tier 1</v>
      </c>
      <c r="L29" s="6" t="s">
        <v>17</v>
      </c>
    </row>
    <row r="30" customFormat="false" ht="15" hidden="false" customHeight="false" outlineLevel="0" collapsed="false">
      <c r="A30" s="5" t="s">
        <v>72</v>
      </c>
      <c r="B30" s="6" t="s">
        <v>73</v>
      </c>
      <c r="C30" s="7" t="s">
        <v>15</v>
      </c>
      <c r="D30" s="7" t="s">
        <v>54</v>
      </c>
      <c r="E30" s="8" t="n">
        <v>84</v>
      </c>
      <c r="F30" s="8" t="n">
        <v>88</v>
      </c>
      <c r="G30" s="8" t="n">
        <v>72</v>
      </c>
      <c r="H30" s="8" t="n">
        <v>94</v>
      </c>
      <c r="I30" s="8" t="n">
        <v>76</v>
      </c>
      <c r="J30" s="9" t="n">
        <f aca="false">ROUND((E30*$O$2+F30*$O$3+G30*$O$4+H30*$O$5+I30*$O$6)/SUM($O$2:$O$6),0)</f>
        <v>84</v>
      </c>
      <c r="K30" s="6" t="str">
        <f aca="false">IF(J30&gt;=80,"Tier 1",IF(J30&gt;=60,"Tier 2","Tier 3"))</f>
        <v>Tier 1</v>
      </c>
      <c r="L30" s="6" t="s">
        <v>17</v>
      </c>
    </row>
    <row r="31" customFormat="false" ht="15" hidden="false" customHeight="false" outlineLevel="0" collapsed="false">
      <c r="A31" s="5" t="s">
        <v>74</v>
      </c>
      <c r="B31" s="6" t="s">
        <v>75</v>
      </c>
      <c r="C31" s="7" t="s">
        <v>15</v>
      </c>
      <c r="D31" s="7" t="s">
        <v>54</v>
      </c>
      <c r="E31" s="8" t="n">
        <v>90</v>
      </c>
      <c r="F31" s="8" t="n">
        <v>96</v>
      </c>
      <c r="G31" s="8" t="n">
        <v>76</v>
      </c>
      <c r="H31" s="8" t="n">
        <v>94</v>
      </c>
      <c r="I31" s="8" t="n">
        <v>84</v>
      </c>
      <c r="J31" s="9" t="n">
        <f aca="false">ROUND((E31*$O$2+F31*$O$3+G31*$O$4+H31*$O$5+I31*$O$6)/SUM($O$2:$O$6),0)</f>
        <v>89</v>
      </c>
      <c r="K31" s="6" t="str">
        <f aca="false">IF(J31&gt;=80,"Tier 1",IF(J31&gt;=60,"Tier 2","Tier 3"))</f>
        <v>Tier 1</v>
      </c>
      <c r="L31" s="6" t="s">
        <v>17</v>
      </c>
    </row>
    <row r="32" customFormat="false" ht="15" hidden="false" customHeight="false" outlineLevel="0" collapsed="false">
      <c r="A32" s="5" t="s">
        <v>76</v>
      </c>
      <c r="B32" s="6" t="s">
        <v>77</v>
      </c>
      <c r="C32" s="7" t="s">
        <v>78</v>
      </c>
      <c r="D32" s="7" t="s">
        <v>79</v>
      </c>
      <c r="E32" s="8" t="n">
        <v>88</v>
      </c>
      <c r="F32" s="8" t="n">
        <v>84</v>
      </c>
      <c r="G32" s="8" t="n">
        <v>82</v>
      </c>
      <c r="H32" s="8" t="n">
        <v>84</v>
      </c>
      <c r="I32" s="8" t="n">
        <v>54</v>
      </c>
      <c r="J32" s="9" t="n">
        <f aca="false">ROUND((E32*$O$2+F32*$O$3+G32*$O$4+H32*$O$5+I32*$O$6)/SUM($O$2:$O$6),0)</f>
        <v>82</v>
      </c>
      <c r="K32" s="6" t="str">
        <f aca="false">IF(J32&gt;=80,"Tier 1",IF(J32&gt;=60,"Tier 2","Tier 3"))</f>
        <v>Tier 1</v>
      </c>
      <c r="L32" s="6" t="s">
        <v>17</v>
      </c>
    </row>
    <row r="33" customFormat="false" ht="15" hidden="false" customHeight="false" outlineLevel="0" collapsed="false">
      <c r="A33" s="5" t="s">
        <v>80</v>
      </c>
      <c r="B33" s="6" t="s">
        <v>81</v>
      </c>
      <c r="C33" s="7" t="s">
        <v>78</v>
      </c>
      <c r="D33" s="7" t="s">
        <v>79</v>
      </c>
      <c r="E33" s="8" t="n">
        <v>88</v>
      </c>
      <c r="F33" s="8" t="n">
        <v>84</v>
      </c>
      <c r="G33" s="8" t="n">
        <v>82</v>
      </c>
      <c r="H33" s="8" t="n">
        <v>84</v>
      </c>
      <c r="I33" s="8" t="n">
        <v>54</v>
      </c>
      <c r="J33" s="9" t="n">
        <f aca="false">ROUND((E33*$O$2+F33*$O$3+G33*$O$4+H33*$O$5+I33*$O$6)/SUM($O$2:$O$6),0)</f>
        <v>82</v>
      </c>
      <c r="K33" s="6" t="str">
        <f aca="false">IF(J33&gt;=80,"Tier 1",IF(J33&gt;=60,"Tier 2","Tier 3"))</f>
        <v>Tier 1</v>
      </c>
      <c r="L33" s="6" t="s">
        <v>17</v>
      </c>
    </row>
    <row r="34" customFormat="false" ht="15" hidden="false" customHeight="false" outlineLevel="0" collapsed="false">
      <c r="A34" s="5" t="s">
        <v>82</v>
      </c>
      <c r="B34" s="6" t="s">
        <v>83</v>
      </c>
      <c r="C34" s="7" t="s">
        <v>78</v>
      </c>
      <c r="D34" s="7" t="s">
        <v>79</v>
      </c>
      <c r="E34" s="8" t="n">
        <v>82</v>
      </c>
      <c r="F34" s="8" t="n">
        <v>76</v>
      </c>
      <c r="G34" s="8" t="n">
        <v>78</v>
      </c>
      <c r="H34" s="8" t="n">
        <v>72</v>
      </c>
      <c r="I34" s="8" t="n">
        <v>46</v>
      </c>
      <c r="J34" s="9" t="n">
        <f aca="false">ROUND((E34*$O$2+F34*$O$3+G34*$O$4+H34*$O$5+I34*$O$6)/SUM($O$2:$O$6),0)</f>
        <v>74</v>
      </c>
      <c r="K34" s="6" t="str">
        <f aca="false">IF(J34&gt;=80,"Tier 1",IF(J34&gt;=60,"Tier 2","Tier 3"))</f>
        <v>Tier 2</v>
      </c>
      <c r="L34" s="6" t="s">
        <v>17</v>
      </c>
    </row>
    <row r="35" customFormat="false" ht="15" hidden="false" customHeight="false" outlineLevel="0" collapsed="false">
      <c r="A35" s="5" t="s">
        <v>84</v>
      </c>
      <c r="B35" s="6" t="s">
        <v>85</v>
      </c>
      <c r="C35" s="7" t="s">
        <v>78</v>
      </c>
      <c r="D35" s="7" t="s">
        <v>79</v>
      </c>
      <c r="E35" s="8" t="n">
        <v>82</v>
      </c>
      <c r="F35" s="8" t="n">
        <v>76</v>
      </c>
      <c r="G35" s="8" t="n">
        <v>78</v>
      </c>
      <c r="H35" s="8" t="n">
        <v>84</v>
      </c>
      <c r="I35" s="8" t="n">
        <v>46</v>
      </c>
      <c r="J35" s="9" t="n">
        <f aca="false">ROUND((E35*$O$2+F35*$O$3+G35*$O$4+H35*$O$5+I35*$O$6)/SUM($O$2:$O$6),0)</f>
        <v>77</v>
      </c>
      <c r="K35" s="6" t="str">
        <f aca="false">IF(J35&gt;=80,"Tier 1",IF(J35&gt;=60,"Tier 2","Tier 3"))</f>
        <v>Tier 2</v>
      </c>
      <c r="L35" s="6" t="s">
        <v>17</v>
      </c>
    </row>
    <row r="36" customFormat="false" ht="15" hidden="false" customHeight="false" outlineLevel="0" collapsed="false">
      <c r="A36" s="5" t="s">
        <v>86</v>
      </c>
      <c r="B36" s="6" t="s">
        <v>87</v>
      </c>
      <c r="C36" s="7" t="s">
        <v>78</v>
      </c>
      <c r="D36" s="7" t="s">
        <v>79</v>
      </c>
      <c r="E36" s="8" t="n">
        <v>88</v>
      </c>
      <c r="F36" s="8" t="n">
        <v>84</v>
      </c>
      <c r="G36" s="8" t="n">
        <v>82</v>
      </c>
      <c r="H36" s="8" t="n">
        <v>84</v>
      </c>
      <c r="I36" s="8" t="n">
        <v>54</v>
      </c>
      <c r="J36" s="9" t="n">
        <f aca="false">ROUND((E36*$O$2+F36*$O$3+G36*$O$4+H36*$O$5+I36*$O$6)/SUM($O$2:$O$6),0)</f>
        <v>82</v>
      </c>
      <c r="K36" s="6" t="str">
        <f aca="false">IF(J36&gt;=80,"Tier 1",IF(J36&gt;=60,"Tier 2","Tier 3"))</f>
        <v>Tier 1</v>
      </c>
      <c r="L36" s="6" t="s">
        <v>17</v>
      </c>
    </row>
    <row r="37" customFormat="false" ht="15" hidden="false" customHeight="false" outlineLevel="0" collapsed="false">
      <c r="A37" s="5" t="s">
        <v>88</v>
      </c>
      <c r="B37" s="6" t="s">
        <v>89</v>
      </c>
      <c r="C37" s="7" t="s">
        <v>78</v>
      </c>
      <c r="D37" s="7" t="s">
        <v>79</v>
      </c>
      <c r="E37" s="8" t="n">
        <v>88</v>
      </c>
      <c r="F37" s="8" t="n">
        <v>84</v>
      </c>
      <c r="G37" s="8" t="n">
        <v>82</v>
      </c>
      <c r="H37" s="8" t="n">
        <v>84</v>
      </c>
      <c r="I37" s="8" t="n">
        <v>54</v>
      </c>
      <c r="J37" s="9" t="n">
        <f aca="false">ROUND((E37*$O$2+F37*$O$3+G37*$O$4+H37*$O$5+I37*$O$6)/SUM($O$2:$O$6),0)</f>
        <v>82</v>
      </c>
      <c r="K37" s="6" t="str">
        <f aca="false">IF(J37&gt;=80,"Tier 1",IF(J37&gt;=60,"Tier 2","Tier 3"))</f>
        <v>Tier 1</v>
      </c>
      <c r="L37" s="6" t="s">
        <v>17</v>
      </c>
    </row>
    <row r="38" customFormat="false" ht="15" hidden="false" customHeight="false" outlineLevel="0" collapsed="false">
      <c r="A38" s="5" t="s">
        <v>90</v>
      </c>
      <c r="B38" s="6" t="s">
        <v>91</v>
      </c>
      <c r="C38" s="7" t="s">
        <v>78</v>
      </c>
      <c r="D38" s="7" t="s">
        <v>79</v>
      </c>
      <c r="E38" s="8" t="n">
        <v>74</v>
      </c>
      <c r="F38" s="8" t="n">
        <v>68</v>
      </c>
      <c r="G38" s="8" t="n">
        <v>74</v>
      </c>
      <c r="H38" s="8" t="n">
        <v>72</v>
      </c>
      <c r="I38" s="8" t="n">
        <v>42</v>
      </c>
      <c r="J38" s="9" t="n">
        <f aca="false">ROUND((E38*$O$2+F38*$O$3+G38*$O$4+H38*$O$5+I38*$O$6)/SUM($O$2:$O$6),0)</f>
        <v>69</v>
      </c>
      <c r="K38" s="6" t="str">
        <f aca="false">IF(J38&gt;=80,"Tier 1",IF(J38&gt;=60,"Tier 2","Tier 3"))</f>
        <v>Tier 2</v>
      </c>
      <c r="L38" s="6" t="s">
        <v>17</v>
      </c>
    </row>
    <row r="39" customFormat="false" ht="15" hidden="false" customHeight="false" outlineLevel="0" collapsed="false">
      <c r="A39" s="5" t="s">
        <v>92</v>
      </c>
      <c r="B39" s="6" t="s">
        <v>93</v>
      </c>
      <c r="C39" s="7" t="s">
        <v>78</v>
      </c>
      <c r="D39" s="7" t="s">
        <v>79</v>
      </c>
      <c r="E39" s="8" t="n">
        <v>74</v>
      </c>
      <c r="F39" s="8" t="n">
        <v>68</v>
      </c>
      <c r="G39" s="8" t="n">
        <v>74</v>
      </c>
      <c r="H39" s="8" t="n">
        <v>72</v>
      </c>
      <c r="I39" s="8" t="n">
        <v>42</v>
      </c>
      <c r="J39" s="9" t="n">
        <f aca="false">ROUND((E39*$O$2+F39*$O$3+G39*$O$4+H39*$O$5+I39*$O$6)/SUM($O$2:$O$6),0)</f>
        <v>69</v>
      </c>
      <c r="K39" s="6" t="str">
        <f aca="false">IF(J39&gt;=80,"Tier 1",IF(J39&gt;=60,"Tier 2","Tier 3"))</f>
        <v>Tier 2</v>
      </c>
      <c r="L39" s="6" t="s">
        <v>17</v>
      </c>
    </row>
    <row r="40" customFormat="false" ht="15" hidden="false" customHeight="false" outlineLevel="0" collapsed="false">
      <c r="A40" s="5" t="s">
        <v>94</v>
      </c>
      <c r="B40" s="6" t="s">
        <v>95</v>
      </c>
      <c r="C40" s="7" t="s">
        <v>78</v>
      </c>
      <c r="D40" s="7" t="s">
        <v>79</v>
      </c>
      <c r="E40" s="8" t="n">
        <v>74</v>
      </c>
      <c r="F40" s="8" t="n">
        <v>68</v>
      </c>
      <c r="G40" s="8" t="n">
        <v>74</v>
      </c>
      <c r="H40" s="8" t="n">
        <v>47</v>
      </c>
      <c r="I40" s="8" t="n">
        <v>42</v>
      </c>
      <c r="J40" s="9" t="n">
        <f aca="false">ROUND((E40*$O$2+F40*$O$3+G40*$O$4+H40*$O$5+I40*$O$6)/SUM($O$2:$O$6),0)</f>
        <v>64</v>
      </c>
      <c r="K40" s="6" t="str">
        <f aca="false">IF(J40&gt;=80,"Tier 1",IF(J40&gt;=60,"Tier 2","Tier 3"))</f>
        <v>Tier 2</v>
      </c>
      <c r="L40" s="6" t="s">
        <v>17</v>
      </c>
    </row>
    <row r="41" customFormat="false" ht="15" hidden="false" customHeight="false" outlineLevel="0" collapsed="false">
      <c r="A41" s="5" t="s">
        <v>96</v>
      </c>
      <c r="B41" s="6" t="s">
        <v>97</v>
      </c>
      <c r="C41" s="7" t="s">
        <v>78</v>
      </c>
      <c r="D41" s="7" t="s">
        <v>79</v>
      </c>
      <c r="E41" s="8" t="n">
        <v>88</v>
      </c>
      <c r="F41" s="8" t="n">
        <v>84</v>
      </c>
      <c r="G41" s="8" t="n">
        <v>82</v>
      </c>
      <c r="H41" s="8" t="n">
        <v>47</v>
      </c>
      <c r="I41" s="8" t="n">
        <v>54</v>
      </c>
      <c r="J41" s="9" t="n">
        <f aca="false">ROUND((E41*$O$2+F41*$O$3+G41*$O$4+H41*$O$5+I41*$O$6)/SUM($O$2:$O$6),0)</f>
        <v>74</v>
      </c>
      <c r="K41" s="6" t="str">
        <f aca="false">IF(J41&gt;=80,"Tier 1",IF(J41&gt;=60,"Tier 2","Tier 3"))</f>
        <v>Tier 2</v>
      </c>
      <c r="L41" s="6" t="s">
        <v>17</v>
      </c>
    </row>
    <row r="42" customFormat="false" ht="15" hidden="false" customHeight="false" outlineLevel="0" collapsed="false">
      <c r="A42" s="5" t="s">
        <v>98</v>
      </c>
      <c r="B42" s="6" t="s">
        <v>99</v>
      </c>
      <c r="C42" s="7" t="s">
        <v>78</v>
      </c>
      <c r="D42" s="7" t="s">
        <v>79</v>
      </c>
      <c r="E42" s="8" t="n">
        <v>82</v>
      </c>
      <c r="F42" s="8" t="n">
        <v>76</v>
      </c>
      <c r="G42" s="8" t="n">
        <v>78</v>
      </c>
      <c r="H42" s="8" t="n">
        <v>72</v>
      </c>
      <c r="I42" s="8" t="n">
        <v>46</v>
      </c>
      <c r="J42" s="9" t="n">
        <f aca="false">ROUND((E42*$O$2+F42*$O$3+G42*$O$4+H42*$O$5+I42*$O$6)/SUM($O$2:$O$6),0)</f>
        <v>74</v>
      </c>
      <c r="K42" s="6" t="str">
        <f aca="false">IF(J42&gt;=80,"Tier 1",IF(J42&gt;=60,"Tier 2","Tier 3"))</f>
        <v>Tier 2</v>
      </c>
      <c r="L42" s="6" t="s">
        <v>17</v>
      </c>
    </row>
    <row r="43" customFormat="false" ht="15" hidden="false" customHeight="false" outlineLevel="0" collapsed="false">
      <c r="A43" s="5" t="s">
        <v>100</v>
      </c>
      <c r="B43" s="6" t="s">
        <v>101</v>
      </c>
      <c r="C43" s="7" t="s">
        <v>78</v>
      </c>
      <c r="D43" s="7" t="s">
        <v>79</v>
      </c>
      <c r="E43" s="8" t="n">
        <v>82</v>
      </c>
      <c r="F43" s="8" t="n">
        <v>76</v>
      </c>
      <c r="G43" s="8" t="n">
        <v>78</v>
      </c>
      <c r="H43" s="8" t="n">
        <v>84</v>
      </c>
      <c r="I43" s="8" t="n">
        <v>46</v>
      </c>
      <c r="J43" s="9" t="n">
        <f aca="false">ROUND((E43*$O$2+F43*$O$3+G43*$O$4+H43*$O$5+I43*$O$6)/SUM($O$2:$O$6),0)</f>
        <v>77</v>
      </c>
      <c r="K43" s="6" t="str">
        <f aca="false">IF(J43&gt;=80,"Tier 1",IF(J43&gt;=60,"Tier 2","Tier 3"))</f>
        <v>Tier 2</v>
      </c>
      <c r="L43" s="6" t="s">
        <v>17</v>
      </c>
    </row>
    <row r="44" customFormat="false" ht="15" hidden="false" customHeight="false" outlineLevel="0" collapsed="false">
      <c r="A44" s="5" t="s">
        <v>102</v>
      </c>
      <c r="B44" s="6" t="s">
        <v>103</v>
      </c>
      <c r="C44" s="7" t="s">
        <v>78</v>
      </c>
      <c r="D44" s="7" t="s">
        <v>104</v>
      </c>
      <c r="E44" s="8" t="n">
        <v>92</v>
      </c>
      <c r="F44" s="8" t="n">
        <v>86</v>
      </c>
      <c r="G44" s="8" t="n">
        <v>92</v>
      </c>
      <c r="H44" s="8" t="n">
        <v>92</v>
      </c>
      <c r="I44" s="8" t="n">
        <v>56</v>
      </c>
      <c r="J44" s="9" t="n">
        <f aca="false">ROUND((E44*$O$2+F44*$O$3+G44*$O$4+H44*$O$5+I44*$O$6)/SUM($O$2:$O$6),0)</f>
        <v>87</v>
      </c>
      <c r="K44" s="6" t="str">
        <f aca="false">IF(J44&gt;=80,"Tier 1",IF(J44&gt;=60,"Tier 2","Tier 3"))</f>
        <v>Tier 1</v>
      </c>
      <c r="L44" s="6" t="s">
        <v>17</v>
      </c>
    </row>
    <row r="45" customFormat="false" ht="15" hidden="false" customHeight="false" outlineLevel="0" collapsed="false">
      <c r="A45" s="5" t="s">
        <v>105</v>
      </c>
      <c r="B45" s="6" t="s">
        <v>106</v>
      </c>
      <c r="C45" s="7" t="s">
        <v>78</v>
      </c>
      <c r="D45" s="7" t="s">
        <v>104</v>
      </c>
      <c r="E45" s="8" t="n">
        <v>92</v>
      </c>
      <c r="F45" s="8" t="n">
        <v>86</v>
      </c>
      <c r="G45" s="8" t="n">
        <v>92</v>
      </c>
      <c r="H45" s="8" t="n">
        <v>92</v>
      </c>
      <c r="I45" s="8" t="n">
        <v>56</v>
      </c>
      <c r="J45" s="9" t="n">
        <f aca="false">ROUND((E45*$O$2+F45*$O$3+G45*$O$4+H45*$O$5+I45*$O$6)/SUM($O$2:$O$6),0)</f>
        <v>87</v>
      </c>
      <c r="K45" s="6" t="str">
        <f aca="false">IF(J45&gt;=80,"Tier 1",IF(J45&gt;=60,"Tier 2","Tier 3"))</f>
        <v>Tier 1</v>
      </c>
      <c r="L45" s="6" t="s">
        <v>17</v>
      </c>
    </row>
    <row r="46" customFormat="false" ht="15" hidden="false" customHeight="false" outlineLevel="0" collapsed="false">
      <c r="A46" s="5" t="s">
        <v>107</v>
      </c>
      <c r="B46" s="6" t="s">
        <v>108</v>
      </c>
      <c r="C46" s="7" t="s">
        <v>78</v>
      </c>
      <c r="D46" s="7" t="s">
        <v>104</v>
      </c>
      <c r="E46" s="8" t="n">
        <v>86</v>
      </c>
      <c r="F46" s="8" t="n">
        <v>78</v>
      </c>
      <c r="G46" s="8" t="n">
        <v>88</v>
      </c>
      <c r="H46" s="8" t="n">
        <v>92</v>
      </c>
      <c r="I46" s="8" t="n">
        <v>48</v>
      </c>
      <c r="J46" s="9" t="n">
        <f aca="false">ROUND((E46*$O$2+F46*$O$3+G46*$O$4+H46*$O$5+I46*$O$6)/SUM($O$2:$O$6),0)</f>
        <v>82</v>
      </c>
      <c r="K46" s="6" t="str">
        <f aca="false">IF(J46&gt;=80,"Tier 1",IF(J46&gt;=60,"Tier 2","Tier 3"))</f>
        <v>Tier 1</v>
      </c>
      <c r="L46" s="6" t="s">
        <v>17</v>
      </c>
    </row>
    <row r="47" customFormat="false" ht="15" hidden="false" customHeight="false" outlineLevel="0" collapsed="false">
      <c r="A47" s="5" t="s">
        <v>109</v>
      </c>
      <c r="B47" s="6" t="s">
        <v>110</v>
      </c>
      <c r="C47" s="7" t="s">
        <v>78</v>
      </c>
      <c r="D47" s="7" t="s">
        <v>104</v>
      </c>
      <c r="E47" s="8" t="n">
        <v>86</v>
      </c>
      <c r="F47" s="8" t="n">
        <v>78</v>
      </c>
      <c r="G47" s="8" t="n">
        <v>88</v>
      </c>
      <c r="H47" s="8" t="n">
        <v>92</v>
      </c>
      <c r="I47" s="8" t="n">
        <v>48</v>
      </c>
      <c r="J47" s="9" t="n">
        <f aca="false">ROUND((E47*$O$2+F47*$O$3+G47*$O$4+H47*$O$5+I47*$O$6)/SUM($O$2:$O$6),0)</f>
        <v>82</v>
      </c>
      <c r="K47" s="6" t="str">
        <f aca="false">IF(J47&gt;=80,"Tier 1",IF(J47&gt;=60,"Tier 2","Tier 3"))</f>
        <v>Tier 1</v>
      </c>
      <c r="L47" s="6" t="s">
        <v>17</v>
      </c>
    </row>
    <row r="48" customFormat="false" ht="15" hidden="false" customHeight="false" outlineLevel="0" collapsed="false">
      <c r="A48" s="5" t="s">
        <v>111</v>
      </c>
      <c r="B48" s="6" t="s">
        <v>112</v>
      </c>
      <c r="C48" s="7" t="s">
        <v>78</v>
      </c>
      <c r="D48" s="7" t="s">
        <v>104</v>
      </c>
      <c r="E48" s="8" t="n">
        <v>86</v>
      </c>
      <c r="F48" s="8" t="n">
        <v>78</v>
      </c>
      <c r="G48" s="8" t="n">
        <v>88</v>
      </c>
      <c r="H48" s="8" t="n">
        <v>80</v>
      </c>
      <c r="I48" s="8" t="n">
        <v>48</v>
      </c>
      <c r="J48" s="9" t="n">
        <f aca="false">ROUND((E48*$O$2+F48*$O$3+G48*$O$4+H48*$O$5+I48*$O$6)/SUM($O$2:$O$6),0)</f>
        <v>79</v>
      </c>
      <c r="K48" s="6" t="str">
        <f aca="false">IF(J48&gt;=80,"Tier 1",IF(J48&gt;=60,"Tier 2","Tier 3"))</f>
        <v>Tier 2</v>
      </c>
      <c r="L48" s="6" t="s">
        <v>17</v>
      </c>
    </row>
    <row r="49" customFormat="false" ht="15" hidden="false" customHeight="false" outlineLevel="0" collapsed="false">
      <c r="A49" s="5" t="s">
        <v>113</v>
      </c>
      <c r="B49" s="6" t="s">
        <v>114</v>
      </c>
      <c r="C49" s="7" t="s">
        <v>78</v>
      </c>
      <c r="D49" s="7" t="s">
        <v>104</v>
      </c>
      <c r="E49" s="8" t="n">
        <v>78</v>
      </c>
      <c r="F49" s="8" t="n">
        <v>70</v>
      </c>
      <c r="G49" s="8" t="n">
        <v>84</v>
      </c>
      <c r="H49" s="8" t="n">
        <v>80</v>
      </c>
      <c r="I49" s="8" t="n">
        <v>44</v>
      </c>
      <c r="J49" s="9" t="n">
        <f aca="false">ROUND((E49*$O$2+F49*$O$3+G49*$O$4+H49*$O$5+I49*$O$6)/SUM($O$2:$O$6),0)</f>
        <v>74</v>
      </c>
      <c r="K49" s="6" t="str">
        <f aca="false">IF(J49&gt;=80,"Tier 1",IF(J49&gt;=60,"Tier 2","Tier 3"))</f>
        <v>Tier 2</v>
      </c>
      <c r="L49" s="6" t="s">
        <v>17</v>
      </c>
    </row>
    <row r="50" customFormat="false" ht="15" hidden="false" customHeight="false" outlineLevel="0" collapsed="false">
      <c r="A50" s="5" t="s">
        <v>115</v>
      </c>
      <c r="B50" s="6" t="s">
        <v>116</v>
      </c>
      <c r="C50" s="7" t="s">
        <v>78</v>
      </c>
      <c r="D50" s="7" t="s">
        <v>104</v>
      </c>
      <c r="E50" s="8" t="n">
        <v>78</v>
      </c>
      <c r="F50" s="8" t="n">
        <v>70</v>
      </c>
      <c r="G50" s="8" t="n">
        <v>84</v>
      </c>
      <c r="H50" s="8" t="n">
        <v>80</v>
      </c>
      <c r="I50" s="8" t="n">
        <v>44</v>
      </c>
      <c r="J50" s="9" t="n">
        <f aca="false">ROUND((E50*$O$2+F50*$O$3+G50*$O$4+H50*$O$5+I50*$O$6)/SUM($O$2:$O$6),0)</f>
        <v>74</v>
      </c>
      <c r="K50" s="6" t="str">
        <f aca="false">IF(J50&gt;=80,"Tier 1",IF(J50&gt;=60,"Tier 2","Tier 3"))</f>
        <v>Tier 2</v>
      </c>
      <c r="L50" s="6" t="s">
        <v>17</v>
      </c>
    </row>
    <row r="51" customFormat="false" ht="15" hidden="false" customHeight="false" outlineLevel="0" collapsed="false">
      <c r="A51" s="5" t="s">
        <v>117</v>
      </c>
      <c r="B51" s="6" t="s">
        <v>118</v>
      </c>
      <c r="C51" s="7" t="s">
        <v>78</v>
      </c>
      <c r="D51" s="7" t="s">
        <v>119</v>
      </c>
      <c r="E51" s="8" t="n">
        <v>80</v>
      </c>
      <c r="F51" s="8" t="n">
        <v>78</v>
      </c>
      <c r="G51" s="8" t="n">
        <v>82</v>
      </c>
      <c r="H51" s="8" t="n">
        <v>88</v>
      </c>
      <c r="I51" s="8" t="n">
        <v>46</v>
      </c>
      <c r="J51" s="9" t="n">
        <f aca="false">ROUND((E51*$O$2+F51*$O$3+G51*$O$4+H51*$O$5+I51*$O$6)/SUM($O$2:$O$6),0)</f>
        <v>78</v>
      </c>
      <c r="K51" s="6" t="str">
        <f aca="false">IF(J51&gt;=80,"Tier 1",IF(J51&gt;=60,"Tier 2","Tier 3"))</f>
        <v>Tier 2</v>
      </c>
      <c r="L51" s="6" t="s">
        <v>17</v>
      </c>
    </row>
    <row r="52" customFormat="false" ht="15" hidden="false" customHeight="false" outlineLevel="0" collapsed="false">
      <c r="A52" s="5" t="s">
        <v>120</v>
      </c>
      <c r="B52" s="6" t="s">
        <v>121</v>
      </c>
      <c r="C52" s="7" t="s">
        <v>78</v>
      </c>
      <c r="D52" s="7" t="s">
        <v>119</v>
      </c>
      <c r="E52" s="8" t="n">
        <v>66</v>
      </c>
      <c r="F52" s="8" t="n">
        <v>62</v>
      </c>
      <c r="G52" s="8" t="n">
        <v>74</v>
      </c>
      <c r="H52" s="8" t="n">
        <v>88</v>
      </c>
      <c r="I52" s="8" t="n">
        <v>34</v>
      </c>
      <c r="J52" s="9" t="n">
        <f aca="false">ROUND((E52*$O$2+F52*$O$3+G52*$O$4+H52*$O$5+I52*$O$6)/SUM($O$2:$O$6),0)</f>
        <v>68</v>
      </c>
      <c r="K52" s="6" t="str">
        <f aca="false">IF(J52&gt;=80,"Tier 1",IF(J52&gt;=60,"Tier 2","Tier 3"))</f>
        <v>Tier 2</v>
      </c>
      <c r="L52" s="6" t="s">
        <v>17</v>
      </c>
    </row>
    <row r="53" customFormat="false" ht="15" hidden="false" customHeight="false" outlineLevel="0" collapsed="false">
      <c r="A53" s="5" t="s">
        <v>122</v>
      </c>
      <c r="B53" s="6" t="s">
        <v>123</v>
      </c>
      <c r="C53" s="7" t="s">
        <v>78</v>
      </c>
      <c r="D53" s="7" t="s">
        <v>119</v>
      </c>
      <c r="E53" s="8" t="n">
        <v>66</v>
      </c>
      <c r="F53" s="8" t="n">
        <v>62</v>
      </c>
      <c r="G53" s="8" t="n">
        <v>74</v>
      </c>
      <c r="H53" s="8" t="n">
        <v>88</v>
      </c>
      <c r="I53" s="8" t="n">
        <v>34</v>
      </c>
      <c r="J53" s="9" t="n">
        <f aca="false">ROUND((E53*$O$2+F53*$O$3+G53*$O$4+H53*$O$5+I53*$O$6)/SUM($O$2:$O$6),0)</f>
        <v>68</v>
      </c>
      <c r="K53" s="6" t="str">
        <f aca="false">IF(J53&gt;=80,"Tier 1",IF(J53&gt;=60,"Tier 2","Tier 3"))</f>
        <v>Tier 2</v>
      </c>
      <c r="L53" s="6" t="s">
        <v>17</v>
      </c>
    </row>
    <row r="54" customFormat="false" ht="15" hidden="false" customHeight="false" outlineLevel="0" collapsed="false">
      <c r="A54" s="5" t="s">
        <v>124</v>
      </c>
      <c r="B54" s="6" t="s">
        <v>125</v>
      </c>
      <c r="C54" s="7" t="s">
        <v>78</v>
      </c>
      <c r="D54" s="7" t="s">
        <v>119</v>
      </c>
      <c r="E54" s="8" t="n">
        <v>66</v>
      </c>
      <c r="F54" s="8" t="n">
        <v>62</v>
      </c>
      <c r="G54" s="8" t="n">
        <v>74</v>
      </c>
      <c r="H54" s="8" t="n">
        <v>88</v>
      </c>
      <c r="I54" s="8" t="n">
        <v>34</v>
      </c>
      <c r="J54" s="9" t="n">
        <f aca="false">ROUND((E54*$O$2+F54*$O$3+G54*$O$4+H54*$O$5+I54*$O$6)/SUM($O$2:$O$6),0)</f>
        <v>68</v>
      </c>
      <c r="K54" s="6" t="str">
        <f aca="false">IF(J54&gt;=80,"Tier 1",IF(J54&gt;=60,"Tier 2","Tier 3"))</f>
        <v>Tier 2</v>
      </c>
      <c r="L54" s="6" t="s">
        <v>17</v>
      </c>
    </row>
    <row r="55" customFormat="false" ht="15" hidden="false" customHeight="false" outlineLevel="0" collapsed="false">
      <c r="A55" s="5" t="s">
        <v>126</v>
      </c>
      <c r="B55" s="6" t="s">
        <v>127</v>
      </c>
      <c r="C55" s="7" t="s">
        <v>78</v>
      </c>
      <c r="D55" s="7" t="s">
        <v>119</v>
      </c>
      <c r="E55" s="8" t="n">
        <v>66</v>
      </c>
      <c r="F55" s="8" t="n">
        <v>62</v>
      </c>
      <c r="G55" s="8" t="n">
        <v>74</v>
      </c>
      <c r="H55" s="8" t="n">
        <v>88</v>
      </c>
      <c r="I55" s="8" t="n">
        <v>34</v>
      </c>
      <c r="J55" s="9" t="n">
        <f aca="false">ROUND((E55*$O$2+F55*$O$3+G55*$O$4+H55*$O$5+I55*$O$6)/SUM($O$2:$O$6),0)</f>
        <v>68</v>
      </c>
      <c r="K55" s="6" t="str">
        <f aca="false">IF(J55&gt;=80,"Tier 1",IF(J55&gt;=60,"Tier 2","Tier 3"))</f>
        <v>Tier 2</v>
      </c>
      <c r="L55" s="6" t="s">
        <v>17</v>
      </c>
    </row>
    <row r="56" customFormat="false" ht="15" hidden="false" customHeight="false" outlineLevel="0" collapsed="false">
      <c r="A56" s="5" t="s">
        <v>128</v>
      </c>
      <c r="B56" s="6" t="s">
        <v>129</v>
      </c>
      <c r="C56" s="7" t="s">
        <v>78</v>
      </c>
      <c r="D56" s="7" t="s">
        <v>119</v>
      </c>
      <c r="E56" s="8" t="n">
        <v>74</v>
      </c>
      <c r="F56" s="8" t="n">
        <v>70</v>
      </c>
      <c r="G56" s="8" t="n">
        <v>78</v>
      </c>
      <c r="H56" s="8" t="n">
        <v>51</v>
      </c>
      <c r="I56" s="8" t="n">
        <v>38</v>
      </c>
      <c r="J56" s="9" t="n">
        <f aca="false">ROUND((E56*$O$2+F56*$O$3+G56*$O$4+H56*$O$5+I56*$O$6)/SUM($O$2:$O$6),0)</f>
        <v>66</v>
      </c>
      <c r="K56" s="6" t="str">
        <f aca="false">IF(J56&gt;=80,"Tier 1",IF(J56&gt;=60,"Tier 2","Tier 3"))</f>
        <v>Tier 2</v>
      </c>
      <c r="L56" s="6" t="s">
        <v>17</v>
      </c>
    </row>
    <row r="57" customFormat="false" ht="15" hidden="false" customHeight="false" outlineLevel="0" collapsed="false">
      <c r="A57" s="5" t="s">
        <v>130</v>
      </c>
      <c r="B57" s="6" t="s">
        <v>131</v>
      </c>
      <c r="C57" s="7" t="s">
        <v>78</v>
      </c>
      <c r="D57" s="7" t="s">
        <v>119</v>
      </c>
      <c r="E57" s="8" t="n">
        <v>66</v>
      </c>
      <c r="F57" s="8" t="n">
        <v>62</v>
      </c>
      <c r="G57" s="8" t="n">
        <v>74</v>
      </c>
      <c r="H57" s="8" t="n">
        <v>51</v>
      </c>
      <c r="I57" s="8" t="n">
        <v>34</v>
      </c>
      <c r="J57" s="9" t="n">
        <f aca="false">ROUND((E57*$O$2+F57*$O$3+G57*$O$4+H57*$O$5+I57*$O$6)/SUM($O$2:$O$6),0)</f>
        <v>60</v>
      </c>
      <c r="K57" s="6" t="str">
        <f aca="false">IF(J57&gt;=80,"Tier 1",IF(J57&gt;=60,"Tier 2","Tier 3"))</f>
        <v>Tier 2</v>
      </c>
      <c r="L57" s="6" t="s">
        <v>17</v>
      </c>
    </row>
    <row r="58" customFormat="false" ht="15" hidden="false" customHeight="false" outlineLevel="0" collapsed="false">
      <c r="A58" s="5" t="s">
        <v>132</v>
      </c>
      <c r="B58" s="6" t="s">
        <v>132</v>
      </c>
      <c r="C58" s="7" t="s">
        <v>78</v>
      </c>
      <c r="D58" s="7" t="s">
        <v>119</v>
      </c>
      <c r="E58" s="8" t="n">
        <v>66</v>
      </c>
      <c r="F58" s="8" t="n">
        <v>62</v>
      </c>
      <c r="G58" s="8" t="n">
        <v>74</v>
      </c>
      <c r="H58" s="8" t="n">
        <v>88</v>
      </c>
      <c r="I58" s="8" t="n">
        <v>34</v>
      </c>
      <c r="J58" s="9" t="n">
        <f aca="false">ROUND((E58*$O$2+F58*$O$3+G58*$O$4+H58*$O$5+I58*$O$6)/SUM($O$2:$O$6),0)</f>
        <v>68</v>
      </c>
      <c r="K58" s="6" t="str">
        <f aca="false">IF(J58&gt;=80,"Tier 1",IF(J58&gt;=60,"Tier 2","Tier 3"))</f>
        <v>Tier 2</v>
      </c>
      <c r="L58" s="6" t="s">
        <v>17</v>
      </c>
    </row>
    <row r="59" customFormat="false" ht="15" hidden="false" customHeight="false" outlineLevel="0" collapsed="false">
      <c r="A59" s="5" t="s">
        <v>133</v>
      </c>
      <c r="B59" s="6" t="s">
        <v>134</v>
      </c>
      <c r="C59" s="7" t="s">
        <v>78</v>
      </c>
      <c r="D59" s="7" t="s">
        <v>119</v>
      </c>
      <c r="E59" s="8" t="n">
        <v>74</v>
      </c>
      <c r="F59" s="8" t="n">
        <v>70</v>
      </c>
      <c r="G59" s="8" t="n">
        <v>78</v>
      </c>
      <c r="H59" s="8" t="n">
        <v>88</v>
      </c>
      <c r="I59" s="8" t="n">
        <v>38</v>
      </c>
      <c r="J59" s="9" t="n">
        <f aca="false">ROUND((E59*$O$2+F59*$O$3+G59*$O$4+H59*$O$5+I59*$O$6)/SUM($O$2:$O$6),0)</f>
        <v>73</v>
      </c>
      <c r="K59" s="6" t="str">
        <f aca="false">IF(J59&gt;=80,"Tier 1",IF(J59&gt;=60,"Tier 2","Tier 3"))</f>
        <v>Tier 2</v>
      </c>
      <c r="L59" s="6" t="s">
        <v>17</v>
      </c>
    </row>
    <row r="60" customFormat="false" ht="15" hidden="false" customHeight="false" outlineLevel="0" collapsed="false">
      <c r="A60" s="5" t="s">
        <v>135</v>
      </c>
      <c r="B60" s="6" t="s">
        <v>136</v>
      </c>
      <c r="C60" s="7" t="s">
        <v>78</v>
      </c>
      <c r="D60" s="7" t="s">
        <v>119</v>
      </c>
      <c r="E60" s="8" t="n">
        <v>74</v>
      </c>
      <c r="F60" s="8" t="n">
        <v>70</v>
      </c>
      <c r="G60" s="8" t="n">
        <v>78</v>
      </c>
      <c r="H60" s="8" t="n">
        <v>88</v>
      </c>
      <c r="I60" s="8" t="n">
        <v>38</v>
      </c>
      <c r="J60" s="9" t="n">
        <f aca="false">ROUND((E60*$O$2+F60*$O$3+G60*$O$4+H60*$O$5+I60*$O$6)/SUM($O$2:$O$6),0)</f>
        <v>73</v>
      </c>
      <c r="K60" s="6" t="str">
        <f aca="false">IF(J60&gt;=80,"Tier 1",IF(J60&gt;=60,"Tier 2","Tier 3"))</f>
        <v>Tier 2</v>
      </c>
      <c r="L60" s="6" t="s">
        <v>17</v>
      </c>
    </row>
    <row r="61" customFormat="false" ht="15" hidden="false" customHeight="false" outlineLevel="0" collapsed="false">
      <c r="A61" s="5" t="s">
        <v>137</v>
      </c>
      <c r="B61" s="6" t="s">
        <v>138</v>
      </c>
      <c r="C61" s="7" t="s">
        <v>139</v>
      </c>
      <c r="D61" s="7" t="s">
        <v>140</v>
      </c>
      <c r="E61" s="8" t="n">
        <v>84</v>
      </c>
      <c r="F61" s="8" t="n">
        <v>90</v>
      </c>
      <c r="G61" s="8" t="n">
        <v>82</v>
      </c>
      <c r="H61" s="8" t="n">
        <v>94</v>
      </c>
      <c r="I61" s="8" t="n">
        <v>58</v>
      </c>
      <c r="J61" s="9" t="n">
        <f aca="false">ROUND((E61*$O$2+F61*$O$3+G61*$O$4+H61*$O$5+I61*$O$6)/SUM($O$2:$O$6),0)</f>
        <v>85</v>
      </c>
      <c r="K61" s="6" t="str">
        <f aca="false">IF(J61&gt;=80,"Tier 1",IF(J61&gt;=60,"Tier 2","Tier 3"))</f>
        <v>Tier 1</v>
      </c>
      <c r="L61" s="6" t="s">
        <v>17</v>
      </c>
    </row>
    <row r="62" customFormat="false" ht="15" hidden="false" customHeight="false" outlineLevel="0" collapsed="false">
      <c r="A62" s="5" t="s">
        <v>141</v>
      </c>
      <c r="B62" s="6" t="s">
        <v>142</v>
      </c>
      <c r="C62" s="7" t="s">
        <v>139</v>
      </c>
      <c r="D62" s="7" t="s">
        <v>140</v>
      </c>
      <c r="E62" s="8" t="n">
        <v>78</v>
      </c>
      <c r="F62" s="8" t="n">
        <v>82</v>
      </c>
      <c r="G62" s="8" t="n">
        <v>78</v>
      </c>
      <c r="H62" s="8" t="n">
        <v>94</v>
      </c>
      <c r="I62" s="8" t="n">
        <v>50</v>
      </c>
      <c r="J62" s="9" t="n">
        <f aca="false">ROUND((E62*$O$2+F62*$O$3+G62*$O$4+H62*$O$5+I62*$O$6)/SUM($O$2:$O$6),0)</f>
        <v>79</v>
      </c>
      <c r="K62" s="6" t="str">
        <f aca="false">IF(J62&gt;=80,"Tier 1",IF(J62&gt;=60,"Tier 2","Tier 3"))</f>
        <v>Tier 2</v>
      </c>
      <c r="L62" s="6" t="s">
        <v>17</v>
      </c>
    </row>
    <row r="63" customFormat="false" ht="15" hidden="false" customHeight="false" outlineLevel="0" collapsed="false">
      <c r="A63" s="5" t="s">
        <v>143</v>
      </c>
      <c r="B63" s="6" t="s">
        <v>144</v>
      </c>
      <c r="C63" s="7" t="s">
        <v>139</v>
      </c>
      <c r="D63" s="7" t="s">
        <v>140</v>
      </c>
      <c r="E63" s="8" t="n">
        <v>78</v>
      </c>
      <c r="F63" s="8" t="n">
        <v>82</v>
      </c>
      <c r="G63" s="8" t="n">
        <v>78</v>
      </c>
      <c r="H63" s="8" t="n">
        <v>94</v>
      </c>
      <c r="I63" s="8" t="n">
        <v>50</v>
      </c>
      <c r="J63" s="9" t="n">
        <f aca="false">ROUND((E63*$O$2+F63*$O$3+G63*$O$4+H63*$O$5+I63*$O$6)/SUM($O$2:$O$6),0)</f>
        <v>79</v>
      </c>
      <c r="K63" s="6" t="str">
        <f aca="false">IF(J63&gt;=80,"Tier 1",IF(J63&gt;=60,"Tier 2","Tier 3"))</f>
        <v>Tier 2</v>
      </c>
      <c r="L63" s="6" t="s">
        <v>17</v>
      </c>
    </row>
    <row r="64" customFormat="false" ht="15" hidden="false" customHeight="false" outlineLevel="0" collapsed="false">
      <c r="A64" s="5" t="s">
        <v>145</v>
      </c>
      <c r="B64" s="6" t="s">
        <v>146</v>
      </c>
      <c r="C64" s="7" t="s">
        <v>139</v>
      </c>
      <c r="D64" s="7" t="s">
        <v>140</v>
      </c>
      <c r="E64" s="8" t="n">
        <v>78</v>
      </c>
      <c r="F64" s="8" t="n">
        <v>82</v>
      </c>
      <c r="G64" s="8" t="n">
        <v>78</v>
      </c>
      <c r="H64" s="8" t="n">
        <v>94</v>
      </c>
      <c r="I64" s="8" t="n">
        <v>50</v>
      </c>
      <c r="J64" s="9" t="n">
        <f aca="false">ROUND((E64*$O$2+F64*$O$3+G64*$O$4+H64*$O$5+I64*$O$6)/SUM($O$2:$O$6),0)</f>
        <v>79</v>
      </c>
      <c r="K64" s="6" t="str">
        <f aca="false">IF(J64&gt;=80,"Tier 1",IF(J64&gt;=60,"Tier 2","Tier 3"))</f>
        <v>Tier 2</v>
      </c>
      <c r="L64" s="6" t="s">
        <v>17</v>
      </c>
    </row>
    <row r="65" customFormat="false" ht="15" hidden="false" customHeight="false" outlineLevel="0" collapsed="false">
      <c r="A65" s="5" t="s">
        <v>147</v>
      </c>
      <c r="B65" s="6" t="s">
        <v>148</v>
      </c>
      <c r="C65" s="7" t="s">
        <v>139</v>
      </c>
      <c r="D65" s="7" t="s">
        <v>140</v>
      </c>
      <c r="E65" s="8" t="n">
        <v>70</v>
      </c>
      <c r="F65" s="8" t="n">
        <v>74</v>
      </c>
      <c r="G65" s="8" t="n">
        <v>74</v>
      </c>
      <c r="H65" s="8" t="n">
        <v>94</v>
      </c>
      <c r="I65" s="8" t="n">
        <v>46</v>
      </c>
      <c r="J65" s="9" t="n">
        <f aca="false">ROUND((E65*$O$2+F65*$O$3+G65*$O$4+H65*$O$5+I65*$O$6)/SUM($O$2:$O$6),0)</f>
        <v>74</v>
      </c>
      <c r="K65" s="6" t="str">
        <f aca="false">IF(J65&gt;=80,"Tier 1",IF(J65&gt;=60,"Tier 2","Tier 3"))</f>
        <v>Tier 2</v>
      </c>
      <c r="L65" s="6" t="s">
        <v>17</v>
      </c>
    </row>
    <row r="66" customFormat="false" ht="15" hidden="false" customHeight="false" outlineLevel="0" collapsed="false">
      <c r="A66" s="5" t="s">
        <v>149</v>
      </c>
      <c r="B66" s="6" t="s">
        <v>150</v>
      </c>
      <c r="C66" s="7" t="s">
        <v>139</v>
      </c>
      <c r="D66" s="7" t="s">
        <v>140</v>
      </c>
      <c r="E66" s="8" t="n">
        <v>70</v>
      </c>
      <c r="F66" s="8" t="n">
        <v>74</v>
      </c>
      <c r="G66" s="8" t="n">
        <v>74</v>
      </c>
      <c r="H66" s="8" t="n">
        <v>94</v>
      </c>
      <c r="I66" s="8" t="n">
        <v>46</v>
      </c>
      <c r="J66" s="9" t="n">
        <f aca="false">ROUND((E66*$O$2+F66*$O$3+G66*$O$4+H66*$O$5+I66*$O$6)/SUM($O$2:$O$6),0)</f>
        <v>74</v>
      </c>
      <c r="K66" s="6" t="str">
        <f aca="false">IF(J66&gt;=80,"Tier 1",IF(J66&gt;=60,"Tier 2","Tier 3"))</f>
        <v>Tier 2</v>
      </c>
      <c r="L66" s="6" t="s">
        <v>17</v>
      </c>
    </row>
    <row r="67" customFormat="false" ht="15" hidden="false" customHeight="false" outlineLevel="0" collapsed="false">
      <c r="A67" s="5" t="s">
        <v>151</v>
      </c>
      <c r="B67" s="6" t="s">
        <v>152</v>
      </c>
      <c r="C67" s="7" t="s">
        <v>139</v>
      </c>
      <c r="D67" s="7" t="s">
        <v>140</v>
      </c>
      <c r="E67" s="8" t="n">
        <v>78</v>
      </c>
      <c r="F67" s="8" t="n">
        <v>82</v>
      </c>
      <c r="G67" s="8" t="n">
        <v>78</v>
      </c>
      <c r="H67" s="8" t="n">
        <v>94</v>
      </c>
      <c r="I67" s="8" t="n">
        <v>50</v>
      </c>
      <c r="J67" s="9" t="n">
        <f aca="false">ROUND((E67*$O$2+F67*$O$3+G67*$O$4+H67*$O$5+I67*$O$6)/SUM($O$2:$O$6),0)</f>
        <v>79</v>
      </c>
      <c r="K67" s="6" t="str">
        <f aca="false">IF(J67&gt;=80,"Tier 1",IF(J67&gt;=60,"Tier 2","Tier 3"))</f>
        <v>Tier 2</v>
      </c>
      <c r="L67" s="6" t="s">
        <v>17</v>
      </c>
    </row>
    <row r="68" customFormat="false" ht="15" hidden="false" customHeight="false" outlineLevel="0" collapsed="false">
      <c r="A68" s="5" t="s">
        <v>153</v>
      </c>
      <c r="B68" s="6" t="s">
        <v>154</v>
      </c>
      <c r="C68" s="7" t="s">
        <v>139</v>
      </c>
      <c r="D68" s="7" t="s">
        <v>140</v>
      </c>
      <c r="E68" s="8" t="n">
        <v>70</v>
      </c>
      <c r="F68" s="8" t="n">
        <v>74</v>
      </c>
      <c r="G68" s="8" t="n">
        <v>74</v>
      </c>
      <c r="H68" s="8" t="n">
        <v>94</v>
      </c>
      <c r="I68" s="8" t="n">
        <v>46</v>
      </c>
      <c r="J68" s="9" t="n">
        <f aca="false">ROUND((E68*$O$2+F68*$O$3+G68*$O$4+H68*$O$5+I68*$O$6)/SUM($O$2:$O$6),0)</f>
        <v>74</v>
      </c>
      <c r="K68" s="6" t="str">
        <f aca="false">IF(J68&gt;=80,"Tier 1",IF(J68&gt;=60,"Tier 2","Tier 3"))</f>
        <v>Tier 2</v>
      </c>
      <c r="L68" s="6" t="s">
        <v>17</v>
      </c>
    </row>
    <row r="69" customFormat="false" ht="15" hidden="false" customHeight="false" outlineLevel="0" collapsed="false">
      <c r="A69" s="5" t="s">
        <v>155</v>
      </c>
      <c r="B69" s="6" t="s">
        <v>156</v>
      </c>
      <c r="C69" s="7" t="s">
        <v>139</v>
      </c>
      <c r="D69" s="7" t="s">
        <v>140</v>
      </c>
      <c r="E69" s="8" t="n">
        <v>84</v>
      </c>
      <c r="F69" s="8" t="n">
        <v>90</v>
      </c>
      <c r="G69" s="8" t="n">
        <v>82</v>
      </c>
      <c r="H69" s="8" t="n">
        <v>82</v>
      </c>
      <c r="I69" s="8" t="n">
        <v>58</v>
      </c>
      <c r="J69" s="9" t="n">
        <f aca="false">ROUND((E69*$O$2+F69*$O$3+G69*$O$4+H69*$O$5+I69*$O$6)/SUM($O$2:$O$6),0)</f>
        <v>82</v>
      </c>
      <c r="K69" s="6" t="str">
        <f aca="false">IF(J69&gt;=80,"Tier 1",IF(J69&gt;=60,"Tier 2","Tier 3"))</f>
        <v>Tier 1</v>
      </c>
      <c r="L69" s="6" t="s">
        <v>17</v>
      </c>
    </row>
    <row r="70" customFormat="false" ht="15" hidden="false" customHeight="false" outlineLevel="0" collapsed="false">
      <c r="A70" s="5" t="s">
        <v>157</v>
      </c>
      <c r="B70" s="6" t="s">
        <v>158</v>
      </c>
      <c r="C70" s="7" t="s">
        <v>139</v>
      </c>
      <c r="D70" s="7" t="s">
        <v>140</v>
      </c>
      <c r="E70" s="8" t="n">
        <v>78</v>
      </c>
      <c r="F70" s="8" t="n">
        <v>82</v>
      </c>
      <c r="G70" s="8" t="n">
        <v>78</v>
      </c>
      <c r="H70" s="8" t="n">
        <v>82</v>
      </c>
      <c r="I70" s="8" t="n">
        <v>50</v>
      </c>
      <c r="J70" s="9" t="n">
        <f aca="false">ROUND((E70*$O$2+F70*$O$3+G70*$O$4+H70*$O$5+I70*$O$6)/SUM($O$2:$O$6),0)</f>
        <v>77</v>
      </c>
      <c r="K70" s="6" t="str">
        <f aca="false">IF(J70&gt;=80,"Tier 1",IF(J70&gt;=60,"Tier 2","Tier 3"))</f>
        <v>Tier 2</v>
      </c>
      <c r="L70" s="6" t="s">
        <v>17</v>
      </c>
    </row>
    <row r="71" customFormat="false" ht="15" hidden="false" customHeight="false" outlineLevel="0" collapsed="false">
      <c r="A71" s="5" t="s">
        <v>159</v>
      </c>
      <c r="B71" s="6" t="s">
        <v>160</v>
      </c>
      <c r="C71" s="7" t="s">
        <v>139</v>
      </c>
      <c r="D71" s="7" t="s">
        <v>140</v>
      </c>
      <c r="E71" s="8" t="n">
        <v>78</v>
      </c>
      <c r="F71" s="8" t="n">
        <v>82</v>
      </c>
      <c r="G71" s="8" t="n">
        <v>78</v>
      </c>
      <c r="H71" s="8" t="n">
        <v>82</v>
      </c>
      <c r="I71" s="8" t="n">
        <v>50</v>
      </c>
      <c r="J71" s="9" t="n">
        <f aca="false">ROUND((E71*$O$2+F71*$O$3+G71*$O$4+H71*$O$5+I71*$O$6)/SUM($O$2:$O$6),0)</f>
        <v>77</v>
      </c>
      <c r="K71" s="6" t="str">
        <f aca="false">IF(J71&gt;=80,"Tier 1",IF(J71&gt;=60,"Tier 2","Tier 3"))</f>
        <v>Tier 2</v>
      </c>
      <c r="L71" s="6" t="s">
        <v>17</v>
      </c>
    </row>
    <row r="72" customFormat="false" ht="15" hidden="false" customHeight="false" outlineLevel="0" collapsed="false">
      <c r="A72" s="5" t="s">
        <v>161</v>
      </c>
      <c r="B72" s="6" t="s">
        <v>162</v>
      </c>
      <c r="C72" s="7" t="s">
        <v>139</v>
      </c>
      <c r="D72" s="7" t="s">
        <v>140</v>
      </c>
      <c r="E72" s="8" t="n">
        <v>78</v>
      </c>
      <c r="F72" s="8" t="n">
        <v>82</v>
      </c>
      <c r="G72" s="8" t="n">
        <v>78</v>
      </c>
      <c r="H72" s="8" t="n">
        <v>94</v>
      </c>
      <c r="I72" s="8" t="n">
        <v>50</v>
      </c>
      <c r="J72" s="9" t="n">
        <f aca="false">ROUND((E72*$O$2+F72*$O$3+G72*$O$4+H72*$O$5+I72*$O$6)/SUM($O$2:$O$6),0)</f>
        <v>79</v>
      </c>
      <c r="K72" s="6" t="str">
        <f aca="false">IF(J72&gt;=80,"Tier 1",IF(J72&gt;=60,"Tier 2","Tier 3"))</f>
        <v>Tier 2</v>
      </c>
      <c r="L72" s="6" t="s">
        <v>17</v>
      </c>
    </row>
    <row r="73" customFormat="false" ht="15" hidden="false" customHeight="false" outlineLevel="0" collapsed="false">
      <c r="A73" s="5" t="s">
        <v>163</v>
      </c>
      <c r="B73" s="6" t="s">
        <v>164</v>
      </c>
      <c r="C73" s="7" t="s">
        <v>139</v>
      </c>
      <c r="D73" s="7" t="s">
        <v>165</v>
      </c>
      <c r="E73" s="8" t="n">
        <v>82</v>
      </c>
      <c r="F73" s="8" t="n">
        <v>80</v>
      </c>
      <c r="G73" s="8" t="n">
        <v>80</v>
      </c>
      <c r="H73" s="8" t="n">
        <v>52</v>
      </c>
      <c r="I73" s="8" t="n">
        <v>58</v>
      </c>
      <c r="J73" s="9" t="n">
        <f aca="false">ROUND((E73*$O$2+F73*$O$3+G73*$O$4+H73*$O$5+I73*$O$6)/SUM($O$2:$O$6),0)</f>
        <v>73</v>
      </c>
      <c r="K73" s="6" t="str">
        <f aca="false">IF(J73&gt;=80,"Tier 1",IF(J73&gt;=60,"Tier 2","Tier 3"))</f>
        <v>Tier 2</v>
      </c>
      <c r="L73" s="6" t="s">
        <v>17</v>
      </c>
    </row>
    <row r="74" customFormat="false" ht="15" hidden="false" customHeight="false" outlineLevel="0" collapsed="false">
      <c r="A74" s="5" t="s">
        <v>166</v>
      </c>
      <c r="B74" s="6" t="s">
        <v>167</v>
      </c>
      <c r="C74" s="7" t="s">
        <v>139</v>
      </c>
      <c r="D74" s="7" t="s">
        <v>165</v>
      </c>
      <c r="E74" s="8" t="n">
        <v>68</v>
      </c>
      <c r="F74" s="8" t="n">
        <v>64</v>
      </c>
      <c r="G74" s="8" t="n">
        <v>72</v>
      </c>
      <c r="H74" s="8" t="n">
        <v>27</v>
      </c>
      <c r="I74" s="8" t="n">
        <v>46</v>
      </c>
      <c r="J74" s="9" t="n">
        <f aca="false">ROUND((E74*$O$2+F74*$O$3+G74*$O$4+H74*$O$5+I74*$O$6)/SUM($O$2:$O$6),0)</f>
        <v>57</v>
      </c>
      <c r="K74" s="6" t="str">
        <f aca="false">IF(J74&gt;=80,"Tier 1",IF(J74&gt;=60,"Tier 2","Tier 3"))</f>
        <v>Tier 3</v>
      </c>
      <c r="L74" s="6" t="s">
        <v>17</v>
      </c>
    </row>
    <row r="75" customFormat="false" ht="15" hidden="false" customHeight="false" outlineLevel="0" collapsed="false">
      <c r="A75" s="5" t="s">
        <v>168</v>
      </c>
      <c r="B75" s="6" t="s">
        <v>169</v>
      </c>
      <c r="C75" s="7" t="s">
        <v>139</v>
      </c>
      <c r="D75" s="7" t="s">
        <v>165</v>
      </c>
      <c r="E75" s="8" t="n">
        <v>68</v>
      </c>
      <c r="F75" s="8" t="n">
        <v>64</v>
      </c>
      <c r="G75" s="8" t="n">
        <v>72</v>
      </c>
      <c r="H75" s="8" t="n">
        <v>27</v>
      </c>
      <c r="I75" s="8" t="n">
        <v>46</v>
      </c>
      <c r="J75" s="9" t="n">
        <f aca="false">ROUND((E75*$O$2+F75*$O$3+G75*$O$4+H75*$O$5+I75*$O$6)/SUM($O$2:$O$6),0)</f>
        <v>57</v>
      </c>
      <c r="K75" s="6" t="str">
        <f aca="false">IF(J75&gt;=80,"Tier 1",IF(J75&gt;=60,"Tier 2","Tier 3"))</f>
        <v>Tier 3</v>
      </c>
      <c r="L75" s="6" t="s">
        <v>17</v>
      </c>
    </row>
    <row r="76" customFormat="false" ht="15" hidden="false" customHeight="false" outlineLevel="0" collapsed="false">
      <c r="A76" s="5" t="s">
        <v>170</v>
      </c>
      <c r="B76" s="6" t="s">
        <v>171</v>
      </c>
      <c r="C76" s="7" t="s">
        <v>139</v>
      </c>
      <c r="D76" s="7" t="s">
        <v>165</v>
      </c>
      <c r="E76" s="8" t="n">
        <v>76</v>
      </c>
      <c r="F76" s="8" t="n">
        <v>72</v>
      </c>
      <c r="G76" s="8" t="n">
        <v>76</v>
      </c>
      <c r="H76" s="8" t="n">
        <v>27</v>
      </c>
      <c r="I76" s="8" t="n">
        <v>50</v>
      </c>
      <c r="J76" s="9" t="n">
        <f aca="false">ROUND((E76*$O$2+F76*$O$3+G76*$O$4+H76*$O$5+I76*$O$6)/SUM($O$2:$O$6),0)</f>
        <v>63</v>
      </c>
      <c r="K76" s="6" t="str">
        <f aca="false">IF(J76&gt;=80,"Tier 1",IF(J76&gt;=60,"Tier 2","Tier 3"))</f>
        <v>Tier 2</v>
      </c>
      <c r="L76" s="6" t="s">
        <v>17</v>
      </c>
    </row>
    <row r="77" customFormat="false" ht="15" hidden="false" customHeight="false" outlineLevel="0" collapsed="false">
      <c r="A77" s="5" t="s">
        <v>172</v>
      </c>
      <c r="B77" s="6" t="s">
        <v>173</v>
      </c>
      <c r="C77" s="7" t="s">
        <v>139</v>
      </c>
      <c r="D77" s="7" t="s">
        <v>165</v>
      </c>
      <c r="E77" s="8" t="n">
        <v>68</v>
      </c>
      <c r="F77" s="8" t="n">
        <v>64</v>
      </c>
      <c r="G77" s="8" t="n">
        <v>72</v>
      </c>
      <c r="H77" s="8" t="n">
        <v>27</v>
      </c>
      <c r="I77" s="8" t="n">
        <v>46</v>
      </c>
      <c r="J77" s="9" t="n">
        <f aca="false">ROUND((E77*$O$2+F77*$O$3+G77*$O$4+H77*$O$5+I77*$O$6)/SUM($O$2:$O$6),0)</f>
        <v>57</v>
      </c>
      <c r="K77" s="6" t="str">
        <f aca="false">IF(J77&gt;=80,"Tier 1",IF(J77&gt;=60,"Tier 2","Tier 3"))</f>
        <v>Tier 3</v>
      </c>
      <c r="L77" s="6" t="s">
        <v>17</v>
      </c>
    </row>
    <row r="78" customFormat="false" ht="15" hidden="false" customHeight="false" outlineLevel="0" collapsed="false">
      <c r="A78" s="5" t="s">
        <v>174</v>
      </c>
      <c r="B78" s="6" t="s">
        <v>175</v>
      </c>
      <c r="C78" s="7" t="s">
        <v>139</v>
      </c>
      <c r="D78" s="7" t="s">
        <v>165</v>
      </c>
      <c r="E78" s="8" t="n">
        <v>68</v>
      </c>
      <c r="F78" s="8" t="n">
        <v>64</v>
      </c>
      <c r="G78" s="8" t="n">
        <v>72</v>
      </c>
      <c r="H78" s="8" t="n">
        <v>27</v>
      </c>
      <c r="I78" s="8" t="n">
        <v>46</v>
      </c>
      <c r="J78" s="9" t="n">
        <f aca="false">ROUND((E78*$O$2+F78*$O$3+G78*$O$4+H78*$O$5+I78*$O$6)/SUM($O$2:$O$6),0)</f>
        <v>57</v>
      </c>
      <c r="K78" s="6" t="str">
        <f aca="false">IF(J78&gt;=80,"Tier 1",IF(J78&gt;=60,"Tier 2","Tier 3"))</f>
        <v>Tier 3</v>
      </c>
      <c r="L78" s="6" t="s">
        <v>17</v>
      </c>
    </row>
    <row r="79" customFormat="false" ht="15" hidden="false" customHeight="false" outlineLevel="0" collapsed="false">
      <c r="A79" s="5" t="s">
        <v>176</v>
      </c>
      <c r="B79" s="6" t="s">
        <v>177</v>
      </c>
      <c r="C79" s="7" t="s">
        <v>139</v>
      </c>
      <c r="D79" s="7" t="s">
        <v>165</v>
      </c>
      <c r="E79" s="8" t="n">
        <v>76</v>
      </c>
      <c r="F79" s="8" t="n">
        <v>72</v>
      </c>
      <c r="G79" s="8" t="n">
        <v>76</v>
      </c>
      <c r="H79" s="8" t="n">
        <v>64</v>
      </c>
      <c r="I79" s="8" t="n">
        <v>50</v>
      </c>
      <c r="J79" s="9" t="n">
        <f aca="false">ROUND((E79*$O$2+F79*$O$3+G79*$O$4+H79*$O$5+I79*$O$6)/SUM($O$2:$O$6),0)</f>
        <v>70</v>
      </c>
      <c r="K79" s="6" t="str">
        <f aca="false">IF(J79&gt;=80,"Tier 1",IF(J79&gt;=60,"Tier 2","Tier 3"))</f>
        <v>Tier 2</v>
      </c>
      <c r="L79" s="6" t="s">
        <v>17</v>
      </c>
    </row>
    <row r="80" customFormat="false" ht="15" hidden="false" customHeight="false" outlineLevel="0" collapsed="false">
      <c r="A80" s="5" t="s">
        <v>178</v>
      </c>
      <c r="B80" s="6" t="s">
        <v>179</v>
      </c>
      <c r="C80" s="7" t="s">
        <v>139</v>
      </c>
      <c r="D80" s="7" t="s">
        <v>165</v>
      </c>
      <c r="E80" s="8" t="n">
        <v>76</v>
      </c>
      <c r="F80" s="8" t="n">
        <v>72</v>
      </c>
      <c r="G80" s="8" t="n">
        <v>76</v>
      </c>
      <c r="H80" s="8" t="n">
        <v>64</v>
      </c>
      <c r="I80" s="8" t="n">
        <v>50</v>
      </c>
      <c r="J80" s="9" t="n">
        <f aca="false">ROUND((E80*$O$2+F80*$O$3+G80*$O$4+H80*$O$5+I80*$O$6)/SUM($O$2:$O$6),0)</f>
        <v>70</v>
      </c>
      <c r="K80" s="6" t="str">
        <f aca="false">IF(J80&gt;=80,"Tier 1",IF(J80&gt;=60,"Tier 2","Tier 3"))</f>
        <v>Tier 2</v>
      </c>
      <c r="L80" s="6" t="s">
        <v>17</v>
      </c>
    </row>
    <row r="81" customFormat="false" ht="15" hidden="false" customHeight="false" outlineLevel="0" collapsed="false">
      <c r="A81" s="5" t="s">
        <v>180</v>
      </c>
      <c r="B81" s="6" t="s">
        <v>181</v>
      </c>
      <c r="C81" s="7" t="s">
        <v>139</v>
      </c>
      <c r="D81" s="7" t="s">
        <v>165</v>
      </c>
      <c r="E81" s="8" t="n">
        <v>82</v>
      </c>
      <c r="F81" s="8" t="n">
        <v>80</v>
      </c>
      <c r="G81" s="8" t="n">
        <v>80</v>
      </c>
      <c r="H81" s="8" t="n">
        <v>64</v>
      </c>
      <c r="I81" s="8" t="n">
        <v>58</v>
      </c>
      <c r="J81" s="9" t="n">
        <f aca="false">ROUND((E81*$O$2+F81*$O$3+G81*$O$4+H81*$O$5+I81*$O$6)/SUM($O$2:$O$6),0)</f>
        <v>75</v>
      </c>
      <c r="K81" s="6" t="str">
        <f aca="false">IF(J81&gt;=80,"Tier 1",IF(J81&gt;=60,"Tier 2","Tier 3"))</f>
        <v>Tier 2</v>
      </c>
      <c r="L81" s="6" t="s">
        <v>17</v>
      </c>
    </row>
    <row r="82" customFormat="false" ht="15" hidden="false" customHeight="false" outlineLevel="0" collapsed="false">
      <c r="A82" s="5" t="s">
        <v>182</v>
      </c>
      <c r="B82" s="6" t="s">
        <v>183</v>
      </c>
      <c r="C82" s="7" t="s">
        <v>139</v>
      </c>
      <c r="D82" s="7" t="s">
        <v>165</v>
      </c>
      <c r="E82" s="8" t="n">
        <v>76</v>
      </c>
      <c r="F82" s="8" t="n">
        <v>72</v>
      </c>
      <c r="G82" s="8" t="n">
        <v>76</v>
      </c>
      <c r="H82" s="8" t="n">
        <v>64</v>
      </c>
      <c r="I82" s="8" t="n">
        <v>50</v>
      </c>
      <c r="J82" s="9" t="n">
        <f aca="false">ROUND((E82*$O$2+F82*$O$3+G82*$O$4+H82*$O$5+I82*$O$6)/SUM($O$2:$O$6),0)</f>
        <v>70</v>
      </c>
      <c r="K82" s="6" t="str">
        <f aca="false">IF(J82&gt;=80,"Tier 1",IF(J82&gt;=60,"Tier 2","Tier 3"))</f>
        <v>Tier 2</v>
      </c>
      <c r="L82" s="6" t="s">
        <v>17</v>
      </c>
    </row>
    <row r="83" customFormat="false" ht="15" hidden="false" customHeight="false" outlineLevel="0" collapsed="false">
      <c r="A83" s="5" t="s">
        <v>184</v>
      </c>
      <c r="B83" s="6" t="s">
        <v>185</v>
      </c>
      <c r="C83" s="7" t="s">
        <v>186</v>
      </c>
      <c r="D83" s="7" t="s">
        <v>187</v>
      </c>
      <c r="E83" s="8" t="n">
        <v>92</v>
      </c>
      <c r="F83" s="8" t="n">
        <v>92</v>
      </c>
      <c r="G83" s="8" t="n">
        <v>72</v>
      </c>
      <c r="H83" s="8" t="n">
        <v>80</v>
      </c>
      <c r="I83" s="8" t="n">
        <v>88</v>
      </c>
      <c r="J83" s="9" t="n">
        <f aca="false">ROUND((E83*$O$2+F83*$O$3+G83*$O$4+H83*$O$5+I83*$O$6)/SUM($O$2:$O$6),0)</f>
        <v>85</v>
      </c>
      <c r="K83" s="6" t="str">
        <f aca="false">IF(J83&gt;=80,"Tier 1",IF(J83&gt;=60,"Tier 2","Tier 3"))</f>
        <v>Tier 1</v>
      </c>
      <c r="L83" s="6" t="s">
        <v>17</v>
      </c>
    </row>
    <row r="84" customFormat="false" ht="15" hidden="false" customHeight="false" outlineLevel="0" collapsed="false">
      <c r="A84" s="5" t="s">
        <v>188</v>
      </c>
      <c r="B84" s="6" t="s">
        <v>189</v>
      </c>
      <c r="C84" s="7" t="s">
        <v>186</v>
      </c>
      <c r="D84" s="7" t="s">
        <v>187</v>
      </c>
      <c r="E84" s="8" t="n">
        <v>80</v>
      </c>
      <c r="F84" s="8" t="n">
        <v>78</v>
      </c>
      <c r="G84" s="8" t="n">
        <v>76</v>
      </c>
      <c r="H84" s="8" t="n">
        <v>88</v>
      </c>
      <c r="I84" s="8" t="n">
        <v>50</v>
      </c>
      <c r="J84" s="9" t="n">
        <f aca="false">ROUND((E84*$O$2+F84*$O$3+G84*$O$4+H84*$O$5+I84*$O$6)/SUM($O$2:$O$6),0)</f>
        <v>77</v>
      </c>
      <c r="K84" s="6" t="str">
        <f aca="false">IF(J84&gt;=80,"Tier 1",IF(J84&gt;=60,"Tier 2","Tier 3"))</f>
        <v>Tier 2</v>
      </c>
      <c r="L84" s="6" t="s">
        <v>17</v>
      </c>
    </row>
    <row r="85" customFormat="false" ht="15" hidden="false" customHeight="false" outlineLevel="0" collapsed="false">
      <c r="A85" s="5" t="s">
        <v>190</v>
      </c>
      <c r="B85" s="6" t="s">
        <v>191</v>
      </c>
      <c r="C85" s="7" t="s">
        <v>186</v>
      </c>
      <c r="D85" s="7" t="s">
        <v>187</v>
      </c>
      <c r="E85" s="8" t="n">
        <v>80</v>
      </c>
      <c r="F85" s="8" t="n">
        <v>78</v>
      </c>
      <c r="G85" s="8" t="n">
        <v>76</v>
      </c>
      <c r="H85" s="8" t="n">
        <v>88</v>
      </c>
      <c r="I85" s="8" t="n">
        <v>50</v>
      </c>
      <c r="J85" s="9" t="n">
        <f aca="false">ROUND((E85*$O$2+F85*$O$3+G85*$O$4+H85*$O$5+I85*$O$6)/SUM($O$2:$O$6),0)</f>
        <v>77</v>
      </c>
      <c r="K85" s="6" t="str">
        <f aca="false">IF(J85&gt;=80,"Tier 1",IF(J85&gt;=60,"Tier 2","Tier 3"))</f>
        <v>Tier 2</v>
      </c>
      <c r="L85" s="6" t="s">
        <v>17</v>
      </c>
    </row>
    <row r="86" customFormat="false" ht="15" hidden="false" customHeight="false" outlineLevel="0" collapsed="false">
      <c r="A86" s="5" t="s">
        <v>192</v>
      </c>
      <c r="B86" s="6" t="s">
        <v>193</v>
      </c>
      <c r="C86" s="7" t="s">
        <v>186</v>
      </c>
      <c r="D86" s="7" t="s">
        <v>187</v>
      </c>
      <c r="E86" s="8" t="n">
        <v>80</v>
      </c>
      <c r="F86" s="8" t="n">
        <v>78</v>
      </c>
      <c r="G86" s="8" t="n">
        <v>76</v>
      </c>
      <c r="H86" s="8" t="n">
        <v>51</v>
      </c>
      <c r="I86" s="8" t="n">
        <v>50</v>
      </c>
      <c r="J86" s="9" t="n">
        <f aca="false">ROUND((E86*$O$2+F86*$O$3+G86*$O$4+H86*$O$5+I86*$O$6)/SUM($O$2:$O$6),0)</f>
        <v>70</v>
      </c>
      <c r="K86" s="6" t="str">
        <f aca="false">IF(J86&gt;=80,"Tier 1",IF(J86&gt;=60,"Tier 2","Tier 3"))</f>
        <v>Tier 2</v>
      </c>
      <c r="L86" s="6" t="s">
        <v>17</v>
      </c>
    </row>
    <row r="87" customFormat="false" ht="15" hidden="false" customHeight="false" outlineLevel="0" collapsed="false">
      <c r="A87" s="5" t="s">
        <v>194</v>
      </c>
      <c r="B87" s="6" t="s">
        <v>195</v>
      </c>
      <c r="C87" s="7" t="s">
        <v>186</v>
      </c>
      <c r="D87" s="7" t="s">
        <v>187</v>
      </c>
      <c r="E87" s="8" t="n">
        <v>80</v>
      </c>
      <c r="F87" s="8" t="n">
        <v>78</v>
      </c>
      <c r="G87" s="8" t="n">
        <v>76</v>
      </c>
      <c r="H87" s="8" t="n">
        <v>88</v>
      </c>
      <c r="I87" s="8" t="n">
        <v>50</v>
      </c>
      <c r="J87" s="9" t="n">
        <f aca="false">ROUND((E87*$O$2+F87*$O$3+G87*$O$4+H87*$O$5+I87*$O$6)/SUM($O$2:$O$6),0)</f>
        <v>77</v>
      </c>
      <c r="K87" s="6" t="str">
        <f aca="false">IF(J87&gt;=80,"Tier 1",IF(J87&gt;=60,"Tier 2","Tier 3"))</f>
        <v>Tier 2</v>
      </c>
      <c r="L87" s="6" t="s">
        <v>17</v>
      </c>
    </row>
    <row r="88" customFormat="false" ht="15" hidden="false" customHeight="false" outlineLevel="0" collapsed="false">
      <c r="A88" s="5" t="s">
        <v>196</v>
      </c>
      <c r="B88" s="6" t="s">
        <v>197</v>
      </c>
      <c r="C88" s="7" t="s">
        <v>186</v>
      </c>
      <c r="D88" s="7" t="s">
        <v>187</v>
      </c>
      <c r="E88" s="8" t="n">
        <v>72</v>
      </c>
      <c r="F88" s="8" t="n">
        <v>70</v>
      </c>
      <c r="G88" s="8" t="n">
        <v>72</v>
      </c>
      <c r="H88" s="8" t="n">
        <v>88</v>
      </c>
      <c r="I88" s="8" t="n">
        <v>46</v>
      </c>
      <c r="J88" s="9" t="n">
        <f aca="false">ROUND((E88*$O$2+F88*$O$3+G88*$O$4+H88*$O$5+I88*$O$6)/SUM($O$2:$O$6),0)</f>
        <v>72</v>
      </c>
      <c r="K88" s="6" t="str">
        <f aca="false">IF(J88&gt;=80,"Tier 1",IF(J88&gt;=60,"Tier 2","Tier 3"))</f>
        <v>Tier 2</v>
      </c>
      <c r="L88" s="6" t="s">
        <v>17</v>
      </c>
    </row>
    <row r="89" customFormat="false" ht="15" hidden="false" customHeight="false" outlineLevel="0" collapsed="false">
      <c r="A89" s="5" t="s">
        <v>198</v>
      </c>
      <c r="B89" s="6" t="s">
        <v>199</v>
      </c>
      <c r="C89" s="7" t="s">
        <v>186</v>
      </c>
      <c r="D89" s="7" t="s">
        <v>187</v>
      </c>
      <c r="E89" s="8" t="n">
        <v>72</v>
      </c>
      <c r="F89" s="8" t="n">
        <v>70</v>
      </c>
      <c r="G89" s="8" t="n">
        <v>72</v>
      </c>
      <c r="H89" s="8" t="n">
        <v>88</v>
      </c>
      <c r="I89" s="8" t="n">
        <v>46</v>
      </c>
      <c r="J89" s="9" t="n">
        <f aca="false">ROUND((E89*$O$2+F89*$O$3+G89*$O$4+H89*$O$5+I89*$O$6)/SUM($O$2:$O$6),0)</f>
        <v>72</v>
      </c>
      <c r="K89" s="6" t="str">
        <f aca="false">IF(J89&gt;=80,"Tier 1",IF(J89&gt;=60,"Tier 2","Tier 3"))</f>
        <v>Tier 2</v>
      </c>
      <c r="L89" s="6" t="s">
        <v>17</v>
      </c>
    </row>
    <row r="90" customFormat="false" ht="15" hidden="false" customHeight="false" outlineLevel="0" collapsed="false">
      <c r="A90" s="5" t="s">
        <v>200</v>
      </c>
      <c r="B90" s="6" t="s">
        <v>201</v>
      </c>
      <c r="C90" s="7" t="s">
        <v>186</v>
      </c>
      <c r="D90" s="7" t="s">
        <v>202</v>
      </c>
      <c r="E90" s="8" t="n">
        <v>66</v>
      </c>
      <c r="F90" s="8" t="n">
        <v>62</v>
      </c>
      <c r="G90" s="8" t="n">
        <v>68</v>
      </c>
      <c r="H90" s="8" t="n">
        <v>84</v>
      </c>
      <c r="I90" s="8" t="n">
        <v>40</v>
      </c>
      <c r="J90" s="9" t="n">
        <f aca="false">ROUND((E90*$O$2+F90*$O$3+G90*$O$4+H90*$O$5+I90*$O$6)/SUM($O$2:$O$6),0)</f>
        <v>66</v>
      </c>
      <c r="K90" s="6" t="str">
        <f aca="false">IF(J90&gt;=80,"Tier 1",IF(J90&gt;=60,"Tier 2","Tier 3"))</f>
        <v>Tier 2</v>
      </c>
      <c r="L90" s="6" t="s">
        <v>17</v>
      </c>
    </row>
    <row r="91" customFormat="false" ht="15" hidden="false" customHeight="false" outlineLevel="0" collapsed="false">
      <c r="A91" s="5" t="s">
        <v>203</v>
      </c>
      <c r="B91" s="6" t="s">
        <v>204</v>
      </c>
      <c r="C91" s="7" t="s">
        <v>186</v>
      </c>
      <c r="D91" s="7" t="s">
        <v>202</v>
      </c>
      <c r="E91" s="8" t="n">
        <v>74</v>
      </c>
      <c r="F91" s="8" t="n">
        <v>70</v>
      </c>
      <c r="G91" s="8" t="n">
        <v>72</v>
      </c>
      <c r="H91" s="8" t="n">
        <v>84</v>
      </c>
      <c r="I91" s="8" t="n">
        <v>44</v>
      </c>
      <c r="J91" s="9" t="n">
        <f aca="false">ROUND((E91*$O$2+F91*$O$3+G91*$O$4+H91*$O$5+I91*$O$6)/SUM($O$2:$O$6),0)</f>
        <v>72</v>
      </c>
      <c r="K91" s="6" t="str">
        <f aca="false">IF(J91&gt;=80,"Tier 1",IF(J91&gt;=60,"Tier 2","Tier 3"))</f>
        <v>Tier 2</v>
      </c>
      <c r="L91" s="6" t="s">
        <v>17</v>
      </c>
    </row>
    <row r="92" customFormat="false" ht="15" hidden="false" customHeight="false" outlineLevel="0" collapsed="false">
      <c r="A92" s="5" t="s">
        <v>205</v>
      </c>
      <c r="B92" s="6" t="s">
        <v>205</v>
      </c>
      <c r="C92" s="7" t="s">
        <v>186</v>
      </c>
      <c r="D92" s="7" t="s">
        <v>202</v>
      </c>
      <c r="E92" s="8" t="n">
        <v>74</v>
      </c>
      <c r="F92" s="8" t="n">
        <v>70</v>
      </c>
      <c r="G92" s="8" t="n">
        <v>72</v>
      </c>
      <c r="H92" s="8" t="n">
        <v>84</v>
      </c>
      <c r="I92" s="8" t="n">
        <v>44</v>
      </c>
      <c r="J92" s="9" t="n">
        <f aca="false">ROUND((E92*$O$2+F92*$O$3+G92*$O$4+H92*$O$5+I92*$O$6)/SUM($O$2:$O$6),0)</f>
        <v>72</v>
      </c>
      <c r="K92" s="6" t="str">
        <f aca="false">IF(J92&gt;=80,"Tier 1",IF(J92&gt;=60,"Tier 2","Tier 3"))</f>
        <v>Tier 2</v>
      </c>
      <c r="L92" s="6" t="s">
        <v>17</v>
      </c>
    </row>
    <row r="93" customFormat="false" ht="15" hidden="false" customHeight="false" outlineLevel="0" collapsed="false">
      <c r="A93" s="5" t="s">
        <v>206</v>
      </c>
      <c r="B93" s="6" t="s">
        <v>207</v>
      </c>
      <c r="C93" s="7" t="s">
        <v>186</v>
      </c>
      <c r="D93" s="7" t="s">
        <v>202</v>
      </c>
      <c r="E93" s="8" t="n">
        <v>66</v>
      </c>
      <c r="F93" s="8" t="n">
        <v>62</v>
      </c>
      <c r="G93" s="8" t="n">
        <v>68</v>
      </c>
      <c r="H93" s="8" t="n">
        <v>84</v>
      </c>
      <c r="I93" s="8" t="n">
        <v>40</v>
      </c>
      <c r="J93" s="9" t="n">
        <f aca="false">ROUND((E93*$O$2+F93*$O$3+G93*$O$4+H93*$O$5+I93*$O$6)/SUM($O$2:$O$6),0)</f>
        <v>66</v>
      </c>
      <c r="K93" s="6" t="str">
        <f aca="false">IF(J93&gt;=80,"Tier 1",IF(J93&gt;=60,"Tier 2","Tier 3"))</f>
        <v>Tier 2</v>
      </c>
      <c r="L93" s="6" t="s">
        <v>17</v>
      </c>
    </row>
    <row r="94" customFormat="false" ht="15" hidden="false" customHeight="false" outlineLevel="0" collapsed="false">
      <c r="A94" s="5" t="s">
        <v>208</v>
      </c>
      <c r="B94" s="6" t="s">
        <v>209</v>
      </c>
      <c r="C94" s="7" t="s">
        <v>186</v>
      </c>
      <c r="D94" s="7" t="s">
        <v>202</v>
      </c>
      <c r="E94" s="8" t="n">
        <v>74</v>
      </c>
      <c r="F94" s="8" t="n">
        <v>70</v>
      </c>
      <c r="G94" s="8" t="n">
        <v>72</v>
      </c>
      <c r="H94" s="8" t="n">
        <v>84</v>
      </c>
      <c r="I94" s="8" t="n">
        <v>44</v>
      </c>
      <c r="J94" s="9" t="n">
        <f aca="false">ROUND((E94*$O$2+F94*$O$3+G94*$O$4+H94*$O$5+I94*$O$6)/SUM($O$2:$O$6),0)</f>
        <v>72</v>
      </c>
      <c r="K94" s="6" t="str">
        <f aca="false">IF(J94&gt;=80,"Tier 1",IF(J94&gt;=60,"Tier 2","Tier 3"))</f>
        <v>Tier 2</v>
      </c>
      <c r="L94" s="6" t="s">
        <v>17</v>
      </c>
    </row>
    <row r="95" customFormat="false" ht="15" hidden="false" customHeight="false" outlineLevel="0" collapsed="false">
      <c r="A95" s="5" t="s">
        <v>210</v>
      </c>
      <c r="B95" s="6" t="s">
        <v>211</v>
      </c>
      <c r="C95" s="7" t="s">
        <v>186</v>
      </c>
      <c r="D95" s="7" t="s">
        <v>202</v>
      </c>
      <c r="E95" s="8" t="n">
        <v>80</v>
      </c>
      <c r="F95" s="8" t="n">
        <v>78</v>
      </c>
      <c r="G95" s="8" t="n">
        <v>76</v>
      </c>
      <c r="H95" s="8" t="n">
        <v>84</v>
      </c>
      <c r="I95" s="8" t="n">
        <v>52</v>
      </c>
      <c r="J95" s="9" t="n">
        <f aca="false">ROUND((E95*$O$2+F95*$O$3+G95*$O$4+H95*$O$5+I95*$O$6)/SUM($O$2:$O$6),0)</f>
        <v>77</v>
      </c>
      <c r="K95" s="6" t="str">
        <f aca="false">IF(J95&gt;=80,"Tier 1",IF(J95&gt;=60,"Tier 2","Tier 3"))</f>
        <v>Tier 2</v>
      </c>
      <c r="L95" s="6" t="s">
        <v>17</v>
      </c>
    </row>
    <row r="96" customFormat="false" ht="15" hidden="false" customHeight="false" outlineLevel="0" collapsed="false">
      <c r="A96" s="5" t="s">
        <v>212</v>
      </c>
      <c r="B96" s="6" t="s">
        <v>213</v>
      </c>
      <c r="C96" s="7" t="s">
        <v>186</v>
      </c>
      <c r="D96" s="7" t="s">
        <v>202</v>
      </c>
      <c r="E96" s="8" t="n">
        <v>74</v>
      </c>
      <c r="F96" s="8" t="n">
        <v>70</v>
      </c>
      <c r="G96" s="8" t="n">
        <v>72</v>
      </c>
      <c r="H96" s="8" t="n">
        <v>84</v>
      </c>
      <c r="I96" s="8" t="n">
        <v>44</v>
      </c>
      <c r="J96" s="9" t="n">
        <f aca="false">ROUND((E96*$O$2+F96*$O$3+G96*$O$4+H96*$O$5+I96*$O$6)/SUM($O$2:$O$6),0)</f>
        <v>72</v>
      </c>
      <c r="K96" s="6" t="str">
        <f aca="false">IF(J96&gt;=80,"Tier 1",IF(J96&gt;=60,"Tier 2","Tier 3"))</f>
        <v>Tier 2</v>
      </c>
      <c r="L96" s="6" t="s">
        <v>17</v>
      </c>
    </row>
    <row r="97" customFormat="false" ht="15" hidden="false" customHeight="false" outlineLevel="0" collapsed="false">
      <c r="A97" s="5" t="s">
        <v>214</v>
      </c>
      <c r="B97" s="6" t="s">
        <v>215</v>
      </c>
      <c r="C97" s="7" t="s">
        <v>186</v>
      </c>
      <c r="D97" s="7" t="s">
        <v>216</v>
      </c>
      <c r="E97" s="8" t="n">
        <v>62</v>
      </c>
      <c r="F97" s="8" t="n">
        <v>64</v>
      </c>
      <c r="G97" s="8" t="n">
        <v>68</v>
      </c>
      <c r="H97" s="8" t="n">
        <v>96</v>
      </c>
      <c r="I97" s="8" t="n">
        <v>40</v>
      </c>
      <c r="J97" s="9" t="n">
        <f aca="false">ROUND((E97*$O$2+F97*$O$3+G97*$O$4+H97*$O$5+I97*$O$6)/SUM($O$2:$O$6),0)</f>
        <v>68</v>
      </c>
      <c r="K97" s="6" t="str">
        <f aca="false">IF(J97&gt;=80,"Tier 1",IF(J97&gt;=60,"Tier 2","Tier 3"))</f>
        <v>Tier 2</v>
      </c>
      <c r="L97" s="6" t="s">
        <v>17</v>
      </c>
    </row>
    <row r="98" customFormat="false" ht="15" hidden="false" customHeight="false" outlineLevel="0" collapsed="false">
      <c r="A98" s="5" t="s">
        <v>217</v>
      </c>
      <c r="B98" s="6" t="s">
        <v>218</v>
      </c>
      <c r="C98" s="7" t="s">
        <v>186</v>
      </c>
      <c r="D98" s="7" t="s">
        <v>216</v>
      </c>
      <c r="E98" s="8" t="n">
        <v>76</v>
      </c>
      <c r="F98" s="8" t="n">
        <v>80</v>
      </c>
      <c r="G98" s="8" t="n">
        <v>76</v>
      </c>
      <c r="H98" s="8" t="n">
        <v>96</v>
      </c>
      <c r="I98" s="8" t="n">
        <v>52</v>
      </c>
      <c r="J98" s="9" t="n">
        <f aca="false">ROUND((E98*$O$2+F98*$O$3+G98*$O$4+H98*$O$5+I98*$O$6)/SUM($O$2:$O$6),0)</f>
        <v>79</v>
      </c>
      <c r="K98" s="6" t="str">
        <f aca="false">IF(J98&gt;=80,"Tier 1",IF(J98&gt;=60,"Tier 2","Tier 3"))</f>
        <v>Tier 2</v>
      </c>
      <c r="L98" s="6" t="s">
        <v>17</v>
      </c>
    </row>
    <row r="99" customFormat="false" ht="15" hidden="false" customHeight="false" outlineLevel="0" collapsed="false">
      <c r="A99" s="5" t="s">
        <v>219</v>
      </c>
      <c r="B99" s="6" t="s">
        <v>220</v>
      </c>
      <c r="C99" s="7" t="s">
        <v>186</v>
      </c>
      <c r="D99" s="7" t="s">
        <v>216</v>
      </c>
      <c r="E99" s="8" t="n">
        <v>62</v>
      </c>
      <c r="F99" s="8" t="n">
        <v>64</v>
      </c>
      <c r="G99" s="8" t="n">
        <v>68</v>
      </c>
      <c r="H99" s="8" t="n">
        <v>96</v>
      </c>
      <c r="I99" s="8" t="n">
        <v>40</v>
      </c>
      <c r="J99" s="9" t="n">
        <f aca="false">ROUND((E99*$O$2+F99*$O$3+G99*$O$4+H99*$O$5+I99*$O$6)/SUM($O$2:$O$6),0)</f>
        <v>68</v>
      </c>
      <c r="K99" s="6" t="str">
        <f aca="false">IF(J99&gt;=80,"Tier 1",IF(J99&gt;=60,"Tier 2","Tier 3"))</f>
        <v>Tier 2</v>
      </c>
      <c r="L99" s="6" t="s">
        <v>17</v>
      </c>
    </row>
    <row r="100" customFormat="false" ht="15" hidden="false" customHeight="false" outlineLevel="0" collapsed="false">
      <c r="A100" s="5" t="s">
        <v>221</v>
      </c>
      <c r="B100" s="6" t="s">
        <v>222</v>
      </c>
      <c r="C100" s="7" t="s">
        <v>186</v>
      </c>
      <c r="D100" s="7" t="s">
        <v>216</v>
      </c>
      <c r="E100" s="8" t="n">
        <v>70</v>
      </c>
      <c r="F100" s="8" t="n">
        <v>72</v>
      </c>
      <c r="G100" s="8" t="n">
        <v>72</v>
      </c>
      <c r="H100" s="8" t="n">
        <v>96</v>
      </c>
      <c r="I100" s="8" t="n">
        <v>44</v>
      </c>
      <c r="J100" s="9" t="n">
        <f aca="false">ROUND((E100*$O$2+F100*$O$3+G100*$O$4+H100*$O$5+I100*$O$6)/SUM($O$2:$O$6),0)</f>
        <v>74</v>
      </c>
      <c r="K100" s="6" t="str">
        <f aca="false">IF(J100&gt;=80,"Tier 1",IF(J100&gt;=60,"Tier 2","Tier 3"))</f>
        <v>Tier 2</v>
      </c>
      <c r="L100" s="6" t="s">
        <v>17</v>
      </c>
    </row>
    <row r="101" customFormat="false" ht="15" hidden="false" customHeight="false" outlineLevel="0" collapsed="false">
      <c r="A101" s="5" t="s">
        <v>223</v>
      </c>
      <c r="B101" s="6" t="s">
        <v>224</v>
      </c>
      <c r="C101" s="7" t="s">
        <v>186</v>
      </c>
      <c r="D101" s="7" t="s">
        <v>216</v>
      </c>
      <c r="E101" s="8" t="n">
        <v>62</v>
      </c>
      <c r="F101" s="8" t="n">
        <v>64</v>
      </c>
      <c r="G101" s="8" t="n">
        <v>68</v>
      </c>
      <c r="H101" s="8" t="n">
        <v>96</v>
      </c>
      <c r="I101" s="8" t="n">
        <v>40</v>
      </c>
      <c r="J101" s="9" t="n">
        <f aca="false">ROUND((E101*$O$2+F101*$O$3+G101*$O$4+H101*$O$5+I101*$O$6)/SUM($O$2:$O$6),0)</f>
        <v>68</v>
      </c>
      <c r="K101" s="6" t="str">
        <f aca="false">IF(J101&gt;=80,"Tier 1",IF(J101&gt;=60,"Tier 2","Tier 3"))</f>
        <v>Tier 2</v>
      </c>
      <c r="L101" s="6" t="s">
        <v>17</v>
      </c>
    </row>
    <row r="102" customFormat="false" ht="15" hidden="false" customHeight="false" outlineLevel="0" collapsed="false">
      <c r="A102" s="5" t="s">
        <v>225</v>
      </c>
      <c r="B102" s="6" t="s">
        <v>226</v>
      </c>
      <c r="C102" s="7" t="s">
        <v>186</v>
      </c>
      <c r="D102" s="7" t="s">
        <v>216</v>
      </c>
      <c r="E102" s="8" t="n">
        <v>62</v>
      </c>
      <c r="F102" s="8" t="n">
        <v>64</v>
      </c>
      <c r="G102" s="8" t="n">
        <v>68</v>
      </c>
      <c r="H102" s="8" t="n">
        <v>96</v>
      </c>
      <c r="I102" s="8" t="n">
        <v>40</v>
      </c>
      <c r="J102" s="9" t="n">
        <f aca="false">ROUND((E102*$O$2+F102*$O$3+G102*$O$4+H102*$O$5+I102*$O$6)/SUM($O$2:$O$6),0)</f>
        <v>68</v>
      </c>
      <c r="K102" s="6" t="str">
        <f aca="false">IF(J102&gt;=80,"Tier 1",IF(J102&gt;=60,"Tier 2","Tier 3"))</f>
        <v>Tier 2</v>
      </c>
      <c r="L102" s="6" t="s">
        <v>17</v>
      </c>
    </row>
    <row r="103" customFormat="false" ht="15" hidden="false" customHeight="false" outlineLevel="0" collapsed="false">
      <c r="A103" s="5" t="s">
        <v>227</v>
      </c>
      <c r="B103" s="6" t="s">
        <v>228</v>
      </c>
      <c r="C103" s="7" t="s">
        <v>186</v>
      </c>
      <c r="D103" s="7" t="s">
        <v>216</v>
      </c>
      <c r="E103" s="8" t="n">
        <v>76</v>
      </c>
      <c r="F103" s="8" t="n">
        <v>80</v>
      </c>
      <c r="G103" s="8" t="n">
        <v>76</v>
      </c>
      <c r="H103" s="8" t="n">
        <v>96</v>
      </c>
      <c r="I103" s="8" t="n">
        <v>52</v>
      </c>
      <c r="J103" s="9" t="n">
        <f aca="false">ROUND((E103*$O$2+F103*$O$3+G103*$O$4+H103*$O$5+I103*$O$6)/SUM($O$2:$O$6),0)</f>
        <v>79</v>
      </c>
      <c r="K103" s="6" t="str">
        <f aca="false">IF(J103&gt;=80,"Tier 1",IF(J103&gt;=60,"Tier 2","Tier 3"))</f>
        <v>Tier 2</v>
      </c>
      <c r="L103" s="6" t="s">
        <v>17</v>
      </c>
    </row>
    <row r="104" customFormat="false" ht="15" hidden="false" customHeight="false" outlineLevel="0" collapsed="false">
      <c r="A104" s="5" t="s">
        <v>229</v>
      </c>
      <c r="B104" s="6" t="s">
        <v>230</v>
      </c>
      <c r="C104" s="7" t="s">
        <v>186</v>
      </c>
      <c r="D104" s="7" t="s">
        <v>216</v>
      </c>
      <c r="E104" s="8" t="n">
        <v>76</v>
      </c>
      <c r="F104" s="8" t="n">
        <v>80</v>
      </c>
      <c r="G104" s="8" t="n">
        <v>76</v>
      </c>
      <c r="H104" s="8" t="n">
        <v>96</v>
      </c>
      <c r="I104" s="8" t="n">
        <v>52</v>
      </c>
      <c r="J104" s="9" t="n">
        <f aca="false">ROUND((E104*$O$2+F104*$O$3+G104*$O$4+H104*$O$5+I104*$O$6)/SUM($O$2:$O$6),0)</f>
        <v>79</v>
      </c>
      <c r="K104" s="6" t="str">
        <f aca="false">IF(J104&gt;=80,"Tier 1",IF(J104&gt;=60,"Tier 2","Tier 3"))</f>
        <v>Tier 2</v>
      </c>
      <c r="L104" s="6" t="s">
        <v>17</v>
      </c>
    </row>
    <row r="105" customFormat="false" ht="15" hidden="false" customHeight="false" outlineLevel="0" collapsed="false">
      <c r="A105" s="5" t="s">
        <v>231</v>
      </c>
      <c r="B105" s="6" t="s">
        <v>232</v>
      </c>
      <c r="C105" s="7" t="s">
        <v>186</v>
      </c>
      <c r="D105" s="7" t="s">
        <v>216</v>
      </c>
      <c r="E105" s="8" t="n">
        <v>76</v>
      </c>
      <c r="F105" s="8" t="n">
        <v>80</v>
      </c>
      <c r="G105" s="8" t="n">
        <v>76</v>
      </c>
      <c r="H105" s="8" t="n">
        <v>96</v>
      </c>
      <c r="I105" s="8" t="n">
        <v>52</v>
      </c>
      <c r="J105" s="9" t="n">
        <f aca="false">ROUND((E105*$O$2+F105*$O$3+G105*$O$4+H105*$O$5+I105*$O$6)/SUM($O$2:$O$6),0)</f>
        <v>79</v>
      </c>
      <c r="K105" s="6" t="str">
        <f aca="false">IF(J105&gt;=80,"Tier 1",IF(J105&gt;=60,"Tier 2","Tier 3"))</f>
        <v>Tier 2</v>
      </c>
      <c r="L105" s="6" t="s">
        <v>17</v>
      </c>
    </row>
    <row r="106" customFormat="false" ht="15" hidden="false" customHeight="false" outlineLevel="0" collapsed="false">
      <c r="A106" s="5" t="s">
        <v>233</v>
      </c>
      <c r="B106" s="6" t="s">
        <v>234</v>
      </c>
      <c r="C106" s="7" t="s">
        <v>186</v>
      </c>
      <c r="D106" s="7" t="s">
        <v>216</v>
      </c>
      <c r="E106" s="8" t="n">
        <v>76</v>
      </c>
      <c r="F106" s="8" t="n">
        <v>80</v>
      </c>
      <c r="G106" s="8" t="n">
        <v>76</v>
      </c>
      <c r="H106" s="8" t="n">
        <v>96</v>
      </c>
      <c r="I106" s="8" t="n">
        <v>52</v>
      </c>
      <c r="J106" s="9" t="n">
        <f aca="false">ROUND((E106*$O$2+F106*$O$3+G106*$O$4+H106*$O$5+I106*$O$6)/SUM($O$2:$O$6),0)</f>
        <v>79</v>
      </c>
      <c r="K106" s="6" t="str">
        <f aca="false">IF(J106&gt;=80,"Tier 1",IF(J106&gt;=60,"Tier 2","Tier 3"))</f>
        <v>Tier 2</v>
      </c>
      <c r="L106" s="6" t="s">
        <v>17</v>
      </c>
    </row>
    <row r="107" customFormat="false" ht="15" hidden="false" customHeight="false" outlineLevel="0" collapsed="false">
      <c r="A107" s="5" t="s">
        <v>235</v>
      </c>
      <c r="B107" s="6" t="s">
        <v>236</v>
      </c>
      <c r="C107" s="7" t="s">
        <v>186</v>
      </c>
      <c r="D107" s="7" t="s">
        <v>216</v>
      </c>
      <c r="E107" s="8" t="n">
        <v>76</v>
      </c>
      <c r="F107" s="8" t="n">
        <v>80</v>
      </c>
      <c r="G107" s="8" t="n">
        <v>76</v>
      </c>
      <c r="H107" s="8" t="n">
        <v>96</v>
      </c>
      <c r="I107" s="8" t="n">
        <v>52</v>
      </c>
      <c r="J107" s="9" t="n">
        <f aca="false">ROUND((E107*$O$2+F107*$O$3+G107*$O$4+H107*$O$5+I107*$O$6)/SUM($O$2:$O$6),0)</f>
        <v>79</v>
      </c>
      <c r="K107" s="6" t="str">
        <f aca="false">IF(J107&gt;=80,"Tier 1",IF(J107&gt;=60,"Tier 2","Tier 3"))</f>
        <v>Tier 2</v>
      </c>
      <c r="L107" s="6" t="s">
        <v>17</v>
      </c>
    </row>
    <row r="108" customFormat="false" ht="15" hidden="false" customHeight="false" outlineLevel="0" collapsed="false">
      <c r="A108" s="5" t="s">
        <v>237</v>
      </c>
      <c r="B108" s="6" t="s">
        <v>238</v>
      </c>
      <c r="C108" s="7" t="s">
        <v>186</v>
      </c>
      <c r="D108" s="7" t="s">
        <v>216</v>
      </c>
      <c r="E108" s="8" t="n">
        <v>62</v>
      </c>
      <c r="F108" s="8" t="n">
        <v>64</v>
      </c>
      <c r="G108" s="8" t="n">
        <v>68</v>
      </c>
      <c r="H108" s="8" t="n">
        <v>96</v>
      </c>
      <c r="I108" s="8" t="n">
        <v>40</v>
      </c>
      <c r="J108" s="9" t="n">
        <f aca="false">ROUND((E108*$O$2+F108*$O$3+G108*$O$4+H108*$O$5+I108*$O$6)/SUM($O$2:$O$6),0)</f>
        <v>68</v>
      </c>
      <c r="K108" s="6" t="str">
        <f aca="false">IF(J108&gt;=80,"Tier 1",IF(J108&gt;=60,"Tier 2","Tier 3"))</f>
        <v>Tier 2</v>
      </c>
      <c r="L108" s="6" t="s">
        <v>17</v>
      </c>
    </row>
    <row r="109" customFormat="false" ht="15" hidden="false" customHeight="false" outlineLevel="0" collapsed="false">
      <c r="A109" s="5" t="s">
        <v>239</v>
      </c>
      <c r="B109" s="6" t="s">
        <v>240</v>
      </c>
      <c r="C109" s="7" t="s">
        <v>241</v>
      </c>
      <c r="D109" s="7" t="s">
        <v>242</v>
      </c>
      <c r="E109" s="8" t="n">
        <v>80</v>
      </c>
      <c r="F109" s="8" t="n">
        <v>74</v>
      </c>
      <c r="G109" s="8" t="n">
        <v>82</v>
      </c>
      <c r="H109" s="8" t="n">
        <v>58</v>
      </c>
      <c r="I109" s="8" t="n">
        <v>54</v>
      </c>
      <c r="J109" s="9" t="n">
        <f aca="false">ROUND((E109*$O$2+F109*$O$3+G109*$O$4+H109*$O$5+I109*$O$6)/SUM($O$2:$O$6),0)</f>
        <v>72</v>
      </c>
      <c r="K109" s="6" t="str">
        <f aca="false">IF(J109&gt;=80,"Tier 1",IF(J109&gt;=60,"Tier 2","Tier 3"))</f>
        <v>Tier 2</v>
      </c>
      <c r="L109" s="6" t="s">
        <v>17</v>
      </c>
    </row>
    <row r="110" customFormat="false" ht="15" hidden="false" customHeight="false" outlineLevel="0" collapsed="false">
      <c r="A110" s="5" t="s">
        <v>243</v>
      </c>
      <c r="B110" s="6" t="s">
        <v>244</v>
      </c>
      <c r="C110" s="7" t="s">
        <v>241</v>
      </c>
      <c r="D110" s="7" t="s">
        <v>242</v>
      </c>
      <c r="E110" s="8" t="n">
        <v>66</v>
      </c>
      <c r="F110" s="8" t="n">
        <v>58</v>
      </c>
      <c r="G110" s="8" t="n">
        <v>74</v>
      </c>
      <c r="H110" s="8" t="n">
        <v>58</v>
      </c>
      <c r="I110" s="8" t="n">
        <v>42</v>
      </c>
      <c r="J110" s="9" t="n">
        <f aca="false">ROUND((E110*$O$2+F110*$O$3+G110*$O$4+H110*$O$5+I110*$O$6)/SUM($O$2:$O$6),0)</f>
        <v>62</v>
      </c>
      <c r="K110" s="6" t="str">
        <f aca="false">IF(J110&gt;=80,"Tier 1",IF(J110&gt;=60,"Tier 2","Tier 3"))</f>
        <v>Tier 2</v>
      </c>
      <c r="L110" s="6" t="s">
        <v>17</v>
      </c>
    </row>
    <row r="111" customFormat="false" ht="15" hidden="false" customHeight="false" outlineLevel="0" collapsed="false">
      <c r="A111" s="5" t="s">
        <v>245</v>
      </c>
      <c r="B111" s="6" t="s">
        <v>246</v>
      </c>
      <c r="C111" s="7" t="s">
        <v>241</v>
      </c>
      <c r="D111" s="7" t="s">
        <v>242</v>
      </c>
      <c r="E111" s="8" t="n">
        <v>74</v>
      </c>
      <c r="F111" s="8" t="n">
        <v>66</v>
      </c>
      <c r="G111" s="8" t="n">
        <v>78</v>
      </c>
      <c r="H111" s="8" t="n">
        <v>46</v>
      </c>
      <c r="I111" s="8" t="n">
        <v>46</v>
      </c>
      <c r="J111" s="9" t="n">
        <f aca="false">ROUND((E111*$O$2+F111*$O$3+G111*$O$4+H111*$O$5+I111*$O$6)/SUM($O$2:$O$6),0)</f>
        <v>64</v>
      </c>
      <c r="K111" s="6" t="str">
        <f aca="false">IF(J111&gt;=80,"Tier 1",IF(J111&gt;=60,"Tier 2","Tier 3"))</f>
        <v>Tier 2</v>
      </c>
      <c r="L111" s="6" t="s">
        <v>17</v>
      </c>
    </row>
    <row r="112" customFormat="false" ht="15" hidden="false" customHeight="false" outlineLevel="0" collapsed="false">
      <c r="A112" s="5" t="s">
        <v>247</v>
      </c>
      <c r="B112" s="6" t="s">
        <v>248</v>
      </c>
      <c r="C112" s="7" t="s">
        <v>241</v>
      </c>
      <c r="D112" s="7" t="s">
        <v>242</v>
      </c>
      <c r="E112" s="8" t="n">
        <v>66</v>
      </c>
      <c r="F112" s="8" t="n">
        <v>58</v>
      </c>
      <c r="G112" s="8" t="n">
        <v>74</v>
      </c>
      <c r="H112" s="8" t="n">
        <v>21</v>
      </c>
      <c r="I112" s="8" t="n">
        <v>42</v>
      </c>
      <c r="J112" s="9" t="n">
        <f aca="false">ROUND((E112*$O$2+F112*$O$3+G112*$O$4+H112*$O$5+I112*$O$6)/SUM($O$2:$O$6),0)</f>
        <v>54</v>
      </c>
      <c r="K112" s="6" t="str">
        <f aca="false">IF(J112&gt;=80,"Tier 1",IF(J112&gt;=60,"Tier 2","Tier 3"))</f>
        <v>Tier 3</v>
      </c>
      <c r="L112" s="6" t="s">
        <v>17</v>
      </c>
    </row>
    <row r="113" customFormat="false" ht="15" hidden="false" customHeight="false" outlineLevel="0" collapsed="false">
      <c r="A113" s="5" t="s">
        <v>249</v>
      </c>
      <c r="B113" s="6" t="s">
        <v>250</v>
      </c>
      <c r="C113" s="7" t="s">
        <v>241</v>
      </c>
      <c r="D113" s="7" t="s">
        <v>242</v>
      </c>
      <c r="E113" s="8" t="n">
        <v>74</v>
      </c>
      <c r="F113" s="8" t="n">
        <v>66</v>
      </c>
      <c r="G113" s="8" t="n">
        <v>78</v>
      </c>
      <c r="H113" s="8" t="n">
        <v>21</v>
      </c>
      <c r="I113" s="8" t="n">
        <v>46</v>
      </c>
      <c r="J113" s="9" t="n">
        <f aca="false">ROUND((E113*$O$2+F113*$O$3+G113*$O$4+H113*$O$5+I113*$O$6)/SUM($O$2:$O$6),0)</f>
        <v>59</v>
      </c>
      <c r="K113" s="6" t="str">
        <f aca="false">IF(J113&gt;=80,"Tier 1",IF(J113&gt;=60,"Tier 2","Tier 3"))</f>
        <v>Tier 3</v>
      </c>
      <c r="L113" s="6" t="s">
        <v>17</v>
      </c>
    </row>
    <row r="114" customFormat="false" ht="15" hidden="false" customHeight="false" outlineLevel="0" collapsed="false">
      <c r="A114" s="5" t="s">
        <v>251</v>
      </c>
      <c r="B114" s="6" t="s">
        <v>252</v>
      </c>
      <c r="C114" s="7" t="s">
        <v>241</v>
      </c>
      <c r="D114" s="7" t="s">
        <v>242</v>
      </c>
      <c r="E114" s="8" t="n">
        <v>66</v>
      </c>
      <c r="F114" s="8" t="n">
        <v>58</v>
      </c>
      <c r="G114" s="8" t="n">
        <v>74</v>
      </c>
      <c r="H114" s="8" t="n">
        <v>58</v>
      </c>
      <c r="I114" s="8" t="n">
        <v>42</v>
      </c>
      <c r="J114" s="9" t="n">
        <f aca="false">ROUND((E114*$O$2+F114*$O$3+G114*$O$4+H114*$O$5+I114*$O$6)/SUM($O$2:$O$6),0)</f>
        <v>62</v>
      </c>
      <c r="K114" s="6" t="str">
        <f aca="false">IF(J114&gt;=80,"Tier 1",IF(J114&gt;=60,"Tier 2","Tier 3"))</f>
        <v>Tier 2</v>
      </c>
      <c r="L114" s="6" t="s">
        <v>17</v>
      </c>
    </row>
    <row r="115" customFormat="false" ht="15" hidden="false" customHeight="false" outlineLevel="0" collapsed="false">
      <c r="A115" s="5" t="s">
        <v>253</v>
      </c>
      <c r="B115" s="6" t="s">
        <v>254</v>
      </c>
      <c r="C115" s="7" t="s">
        <v>241</v>
      </c>
      <c r="D115" s="7" t="s">
        <v>242</v>
      </c>
      <c r="E115" s="8" t="n">
        <v>66</v>
      </c>
      <c r="F115" s="8" t="n">
        <v>58</v>
      </c>
      <c r="G115" s="8" t="n">
        <v>74</v>
      </c>
      <c r="H115" s="8" t="n">
        <v>21</v>
      </c>
      <c r="I115" s="8" t="n">
        <v>42</v>
      </c>
      <c r="J115" s="9" t="n">
        <f aca="false">ROUND((E115*$O$2+F115*$O$3+G115*$O$4+H115*$O$5+I115*$O$6)/SUM($O$2:$O$6),0)</f>
        <v>54</v>
      </c>
      <c r="K115" s="6" t="str">
        <f aca="false">IF(J115&gt;=80,"Tier 1",IF(J115&gt;=60,"Tier 2","Tier 3"))</f>
        <v>Tier 3</v>
      </c>
      <c r="L115" s="6" t="s">
        <v>17</v>
      </c>
    </row>
    <row r="116" customFormat="false" ht="15" hidden="false" customHeight="false" outlineLevel="0" collapsed="false">
      <c r="A116" s="5" t="s">
        <v>255</v>
      </c>
      <c r="B116" s="6" t="s">
        <v>256</v>
      </c>
      <c r="C116" s="7" t="s">
        <v>241</v>
      </c>
      <c r="D116" s="7" t="s">
        <v>242</v>
      </c>
      <c r="E116" s="8" t="n">
        <v>66</v>
      </c>
      <c r="F116" s="8" t="n">
        <v>58</v>
      </c>
      <c r="G116" s="8" t="n">
        <v>74</v>
      </c>
      <c r="H116" s="8" t="n">
        <v>21</v>
      </c>
      <c r="I116" s="8" t="n">
        <v>42</v>
      </c>
      <c r="J116" s="9" t="n">
        <f aca="false">ROUND((E116*$O$2+F116*$O$3+G116*$O$4+H116*$O$5+I116*$O$6)/SUM($O$2:$O$6),0)</f>
        <v>54</v>
      </c>
      <c r="K116" s="6" t="str">
        <f aca="false">IF(J116&gt;=80,"Tier 1",IF(J116&gt;=60,"Tier 2","Tier 3"))</f>
        <v>Tier 3</v>
      </c>
      <c r="L116" s="6" t="s">
        <v>17</v>
      </c>
    </row>
    <row r="117" customFormat="false" ht="15" hidden="false" customHeight="false" outlineLevel="0" collapsed="false">
      <c r="A117" s="5" t="s">
        <v>257</v>
      </c>
      <c r="B117" s="6" t="s">
        <v>258</v>
      </c>
      <c r="C117" s="7" t="s">
        <v>241</v>
      </c>
      <c r="D117" s="7" t="s">
        <v>242</v>
      </c>
      <c r="E117" s="8" t="n">
        <v>66</v>
      </c>
      <c r="F117" s="8" t="n">
        <v>58</v>
      </c>
      <c r="G117" s="8" t="n">
        <v>74</v>
      </c>
      <c r="H117" s="8" t="n">
        <v>58</v>
      </c>
      <c r="I117" s="8" t="n">
        <v>42</v>
      </c>
      <c r="J117" s="9" t="n">
        <f aca="false">ROUND((E117*$O$2+F117*$O$3+G117*$O$4+H117*$O$5+I117*$O$6)/SUM($O$2:$O$6),0)</f>
        <v>62</v>
      </c>
      <c r="K117" s="6" t="str">
        <f aca="false">IF(J117&gt;=80,"Tier 1",IF(J117&gt;=60,"Tier 2","Tier 3"))</f>
        <v>Tier 2</v>
      </c>
      <c r="L117" s="6" t="s">
        <v>17</v>
      </c>
    </row>
    <row r="118" customFormat="false" ht="15" hidden="false" customHeight="false" outlineLevel="0" collapsed="false">
      <c r="A118" s="5" t="s">
        <v>259</v>
      </c>
      <c r="B118" s="6" t="s">
        <v>260</v>
      </c>
      <c r="C118" s="7" t="s">
        <v>241</v>
      </c>
      <c r="D118" s="7" t="s">
        <v>242</v>
      </c>
      <c r="E118" s="8" t="n">
        <v>66</v>
      </c>
      <c r="F118" s="8" t="n">
        <v>58</v>
      </c>
      <c r="G118" s="8" t="n">
        <v>74</v>
      </c>
      <c r="H118" s="8" t="n">
        <v>21</v>
      </c>
      <c r="I118" s="8" t="n">
        <v>42</v>
      </c>
      <c r="J118" s="9" t="n">
        <f aca="false">ROUND((E118*$O$2+F118*$O$3+G118*$O$4+H118*$O$5+I118*$O$6)/SUM($O$2:$O$6),0)</f>
        <v>54</v>
      </c>
      <c r="K118" s="6" t="str">
        <f aca="false">IF(J118&gt;=80,"Tier 1",IF(J118&gt;=60,"Tier 2","Tier 3"))</f>
        <v>Tier 3</v>
      </c>
      <c r="L118" s="6" t="s">
        <v>17</v>
      </c>
    </row>
    <row r="119" customFormat="false" ht="15" hidden="false" customHeight="false" outlineLevel="0" collapsed="false">
      <c r="A119" s="5" t="s">
        <v>261</v>
      </c>
      <c r="B119" s="6" t="s">
        <v>262</v>
      </c>
      <c r="C119" s="7" t="s">
        <v>241</v>
      </c>
      <c r="D119" s="7" t="s">
        <v>263</v>
      </c>
      <c r="E119" s="8" t="n">
        <v>72</v>
      </c>
      <c r="F119" s="8" t="n">
        <v>72</v>
      </c>
      <c r="G119" s="8" t="n">
        <v>76</v>
      </c>
      <c r="H119" s="8" t="n">
        <v>100</v>
      </c>
      <c r="I119" s="8" t="n">
        <v>36</v>
      </c>
      <c r="J119" s="9" t="n">
        <f aca="false">ROUND((E119*$O$2+F119*$O$3+G119*$O$4+H119*$O$5+I119*$O$6)/SUM($O$2:$O$6),0)</f>
        <v>75</v>
      </c>
      <c r="K119" s="6" t="str">
        <f aca="false">IF(J119&gt;=80,"Tier 1",IF(J119&gt;=60,"Tier 2","Tier 3"))</f>
        <v>Tier 2</v>
      </c>
      <c r="L119" s="6" t="s">
        <v>17</v>
      </c>
    </row>
    <row r="120" customFormat="false" ht="15" hidden="false" customHeight="false" outlineLevel="0" collapsed="false">
      <c r="A120" s="5" t="s">
        <v>264</v>
      </c>
      <c r="B120" s="6" t="s">
        <v>265</v>
      </c>
      <c r="C120" s="7" t="s">
        <v>241</v>
      </c>
      <c r="D120" s="7" t="s">
        <v>263</v>
      </c>
      <c r="E120" s="8" t="n">
        <v>72</v>
      </c>
      <c r="F120" s="8" t="n">
        <v>72</v>
      </c>
      <c r="G120" s="8" t="n">
        <v>76</v>
      </c>
      <c r="H120" s="8" t="n">
        <v>100</v>
      </c>
      <c r="I120" s="8" t="n">
        <v>36</v>
      </c>
      <c r="J120" s="9" t="n">
        <f aca="false">ROUND((E120*$O$2+F120*$O$3+G120*$O$4+H120*$O$5+I120*$O$6)/SUM($O$2:$O$6),0)</f>
        <v>75</v>
      </c>
      <c r="K120" s="6" t="str">
        <f aca="false">IF(J120&gt;=80,"Tier 1",IF(J120&gt;=60,"Tier 2","Tier 3"))</f>
        <v>Tier 2</v>
      </c>
      <c r="L120" s="6" t="s">
        <v>17</v>
      </c>
    </row>
    <row r="121" customFormat="false" ht="15" hidden="false" customHeight="false" outlineLevel="0" collapsed="false">
      <c r="A121" s="5" t="s">
        <v>266</v>
      </c>
      <c r="B121" s="6" t="s">
        <v>267</v>
      </c>
      <c r="C121" s="7" t="s">
        <v>241</v>
      </c>
      <c r="D121" s="7" t="s">
        <v>263</v>
      </c>
      <c r="E121" s="8" t="n">
        <v>72</v>
      </c>
      <c r="F121" s="8" t="n">
        <v>72</v>
      </c>
      <c r="G121" s="8" t="n">
        <v>76</v>
      </c>
      <c r="H121" s="8" t="n">
        <v>100</v>
      </c>
      <c r="I121" s="8" t="n">
        <v>36</v>
      </c>
      <c r="J121" s="9" t="n">
        <f aca="false">ROUND((E121*$O$2+F121*$O$3+G121*$O$4+H121*$O$5+I121*$O$6)/SUM($O$2:$O$6),0)</f>
        <v>75</v>
      </c>
      <c r="K121" s="6" t="str">
        <f aca="false">IF(J121&gt;=80,"Tier 1",IF(J121&gt;=60,"Tier 2","Tier 3"))</f>
        <v>Tier 2</v>
      </c>
      <c r="L121" s="6" t="s">
        <v>17</v>
      </c>
    </row>
    <row r="122" customFormat="false" ht="15" hidden="false" customHeight="false" outlineLevel="0" collapsed="false">
      <c r="A122" s="5" t="s">
        <v>268</v>
      </c>
      <c r="B122" s="6" t="s">
        <v>269</v>
      </c>
      <c r="C122" s="7" t="s">
        <v>241</v>
      </c>
      <c r="D122" s="7" t="s">
        <v>263</v>
      </c>
      <c r="E122" s="8" t="n">
        <v>72</v>
      </c>
      <c r="F122" s="8" t="n">
        <v>72</v>
      </c>
      <c r="G122" s="8" t="n">
        <v>76</v>
      </c>
      <c r="H122" s="8" t="n">
        <v>100</v>
      </c>
      <c r="I122" s="8" t="n">
        <v>36</v>
      </c>
      <c r="J122" s="9" t="n">
        <f aca="false">ROUND((E122*$O$2+F122*$O$3+G122*$O$4+H122*$O$5+I122*$O$6)/SUM($O$2:$O$6),0)</f>
        <v>75</v>
      </c>
      <c r="K122" s="6" t="str">
        <f aca="false">IF(J122&gt;=80,"Tier 1",IF(J122&gt;=60,"Tier 2","Tier 3"))</f>
        <v>Tier 2</v>
      </c>
      <c r="L122" s="6" t="s">
        <v>17</v>
      </c>
    </row>
    <row r="123" customFormat="false" ht="15" hidden="false" customHeight="false" outlineLevel="0" collapsed="false">
      <c r="A123" s="5" t="s">
        <v>270</v>
      </c>
      <c r="B123" s="6" t="s">
        <v>271</v>
      </c>
      <c r="C123" s="7" t="s">
        <v>241</v>
      </c>
      <c r="D123" s="7" t="s">
        <v>263</v>
      </c>
      <c r="E123" s="8" t="n">
        <v>72</v>
      </c>
      <c r="F123" s="8" t="n">
        <v>72</v>
      </c>
      <c r="G123" s="8" t="n">
        <v>76</v>
      </c>
      <c r="H123" s="8" t="n">
        <v>100</v>
      </c>
      <c r="I123" s="8" t="n">
        <v>36</v>
      </c>
      <c r="J123" s="9" t="n">
        <f aca="false">ROUND((E123*$O$2+F123*$O$3+G123*$O$4+H123*$O$5+I123*$O$6)/SUM($O$2:$O$6),0)</f>
        <v>75</v>
      </c>
      <c r="K123" s="6" t="str">
        <f aca="false">IF(J123&gt;=80,"Tier 1",IF(J123&gt;=60,"Tier 2","Tier 3"))</f>
        <v>Tier 2</v>
      </c>
      <c r="L123" s="6" t="s">
        <v>17</v>
      </c>
    </row>
    <row r="124" customFormat="false" ht="15" hidden="false" customHeight="false" outlineLevel="0" collapsed="false">
      <c r="A124" s="5" t="s">
        <v>272</v>
      </c>
      <c r="B124" s="6" t="s">
        <v>273</v>
      </c>
      <c r="C124" s="7" t="s">
        <v>241</v>
      </c>
      <c r="D124" s="7" t="s">
        <v>263</v>
      </c>
      <c r="E124" s="8" t="n">
        <v>72</v>
      </c>
      <c r="F124" s="8" t="n">
        <v>72</v>
      </c>
      <c r="G124" s="8" t="n">
        <v>76</v>
      </c>
      <c r="H124" s="8" t="n">
        <v>100</v>
      </c>
      <c r="I124" s="8" t="n">
        <v>36</v>
      </c>
      <c r="J124" s="9" t="n">
        <f aca="false">ROUND((E124*$O$2+F124*$O$3+G124*$O$4+H124*$O$5+I124*$O$6)/SUM($O$2:$O$6),0)</f>
        <v>75</v>
      </c>
      <c r="K124" s="6" t="str">
        <f aca="false">IF(J124&gt;=80,"Tier 1",IF(J124&gt;=60,"Tier 2","Tier 3"))</f>
        <v>Tier 2</v>
      </c>
      <c r="L124" s="6" t="s">
        <v>17</v>
      </c>
    </row>
    <row r="125" customFormat="false" ht="15" hidden="false" customHeight="false" outlineLevel="0" collapsed="false">
      <c r="A125" s="5" t="s">
        <v>274</v>
      </c>
      <c r="B125" s="6" t="s">
        <v>275</v>
      </c>
      <c r="C125" s="7" t="s">
        <v>241</v>
      </c>
      <c r="D125" s="7" t="s">
        <v>263</v>
      </c>
      <c r="E125" s="8" t="n">
        <v>64</v>
      </c>
      <c r="F125" s="8" t="n">
        <v>64</v>
      </c>
      <c r="G125" s="8" t="n">
        <v>72</v>
      </c>
      <c r="H125" s="8" t="n">
        <v>100</v>
      </c>
      <c r="I125" s="8" t="n">
        <v>32</v>
      </c>
      <c r="J125" s="9" t="n">
        <f aca="false">ROUND((E125*$O$2+F125*$O$3+G125*$O$4+H125*$O$5+I125*$O$6)/SUM($O$2:$O$6),0)</f>
        <v>70</v>
      </c>
      <c r="K125" s="6" t="str">
        <f aca="false">IF(J125&gt;=80,"Tier 1",IF(J125&gt;=60,"Tier 2","Tier 3"))</f>
        <v>Tier 2</v>
      </c>
      <c r="L125" s="6" t="s">
        <v>17</v>
      </c>
    </row>
    <row r="126" customFormat="false" ht="15" hidden="false" customHeight="false" outlineLevel="0" collapsed="false">
      <c r="A126" s="5" t="s">
        <v>276</v>
      </c>
      <c r="B126" s="6" t="s">
        <v>277</v>
      </c>
      <c r="C126" s="7" t="s">
        <v>241</v>
      </c>
      <c r="D126" s="7" t="s">
        <v>263</v>
      </c>
      <c r="E126" s="8" t="n">
        <v>64</v>
      </c>
      <c r="F126" s="8" t="n">
        <v>64</v>
      </c>
      <c r="G126" s="8" t="n">
        <v>72</v>
      </c>
      <c r="H126" s="8" t="n">
        <v>100</v>
      </c>
      <c r="I126" s="8" t="n">
        <v>32</v>
      </c>
      <c r="J126" s="9" t="n">
        <f aca="false">ROUND((E126*$O$2+F126*$O$3+G126*$O$4+H126*$O$5+I126*$O$6)/SUM($O$2:$O$6),0)</f>
        <v>70</v>
      </c>
      <c r="K126" s="6" t="str">
        <f aca="false">IF(J126&gt;=80,"Tier 1",IF(J126&gt;=60,"Tier 2","Tier 3"))</f>
        <v>Tier 2</v>
      </c>
      <c r="L126" s="6" t="s">
        <v>17</v>
      </c>
    </row>
    <row r="127" customFormat="false" ht="15" hidden="false" customHeight="false" outlineLevel="0" collapsed="false">
      <c r="A127" s="5" t="s">
        <v>278</v>
      </c>
      <c r="B127" s="6" t="s">
        <v>279</v>
      </c>
      <c r="C127" s="7" t="s">
        <v>241</v>
      </c>
      <c r="D127" s="7" t="s">
        <v>263</v>
      </c>
      <c r="E127" s="8" t="n">
        <v>72</v>
      </c>
      <c r="F127" s="8" t="n">
        <v>72</v>
      </c>
      <c r="G127" s="8" t="n">
        <v>76</v>
      </c>
      <c r="H127" s="8" t="n">
        <v>100</v>
      </c>
      <c r="I127" s="8" t="n">
        <v>36</v>
      </c>
      <c r="J127" s="9" t="n">
        <f aca="false">ROUND((E127*$O$2+F127*$O$3+G127*$O$4+H127*$O$5+I127*$O$6)/SUM($O$2:$O$6),0)</f>
        <v>75</v>
      </c>
      <c r="K127" s="6" t="str">
        <f aca="false">IF(J127&gt;=80,"Tier 1",IF(J127&gt;=60,"Tier 2","Tier 3"))</f>
        <v>Tier 2</v>
      </c>
      <c r="L127" s="6" t="s">
        <v>17</v>
      </c>
    </row>
    <row r="128" customFormat="false" ht="15" hidden="false" customHeight="false" outlineLevel="0" collapsed="false">
      <c r="A128" s="5" t="s">
        <v>280</v>
      </c>
      <c r="B128" s="6" t="s">
        <v>281</v>
      </c>
      <c r="C128" s="7" t="s">
        <v>241</v>
      </c>
      <c r="D128" s="7" t="s">
        <v>263</v>
      </c>
      <c r="E128" s="8" t="n">
        <v>64</v>
      </c>
      <c r="F128" s="8" t="n">
        <v>64</v>
      </c>
      <c r="G128" s="8" t="n">
        <v>72</v>
      </c>
      <c r="H128" s="8" t="n">
        <v>100</v>
      </c>
      <c r="I128" s="8" t="n">
        <v>32</v>
      </c>
      <c r="J128" s="9" t="n">
        <f aca="false">ROUND((E128*$O$2+F128*$O$3+G128*$O$4+H128*$O$5+I128*$O$6)/SUM($O$2:$O$6),0)</f>
        <v>70</v>
      </c>
      <c r="K128" s="6" t="str">
        <f aca="false">IF(J128&gt;=80,"Tier 1",IF(J128&gt;=60,"Tier 2","Tier 3"))</f>
        <v>Tier 2</v>
      </c>
      <c r="L128" s="6" t="s">
        <v>17</v>
      </c>
    </row>
    <row r="129" customFormat="false" ht="15" hidden="false" customHeight="false" outlineLevel="0" collapsed="false">
      <c r="A129" s="5" t="s">
        <v>282</v>
      </c>
      <c r="B129" s="6" t="s">
        <v>283</v>
      </c>
      <c r="C129" s="7" t="s">
        <v>241</v>
      </c>
      <c r="D129" s="7" t="s">
        <v>263</v>
      </c>
      <c r="E129" s="8" t="n">
        <v>64</v>
      </c>
      <c r="F129" s="8" t="n">
        <v>64</v>
      </c>
      <c r="G129" s="8" t="n">
        <v>72</v>
      </c>
      <c r="H129" s="8" t="n">
        <v>100</v>
      </c>
      <c r="I129" s="8" t="n">
        <v>32</v>
      </c>
      <c r="J129" s="9" t="n">
        <f aca="false">ROUND((E129*$O$2+F129*$O$3+G129*$O$4+H129*$O$5+I129*$O$6)/SUM($O$2:$O$6),0)</f>
        <v>70</v>
      </c>
      <c r="K129" s="6" t="str">
        <f aca="false">IF(J129&gt;=80,"Tier 1",IF(J129&gt;=60,"Tier 2","Tier 3"))</f>
        <v>Tier 2</v>
      </c>
      <c r="L129" s="6" t="s">
        <v>17</v>
      </c>
    </row>
    <row r="130" customFormat="false" ht="15" hidden="false" customHeight="false" outlineLevel="0" collapsed="false">
      <c r="A130" s="5" t="s">
        <v>284</v>
      </c>
      <c r="B130" s="6" t="s">
        <v>285</v>
      </c>
      <c r="C130" s="7" t="s">
        <v>241</v>
      </c>
      <c r="D130" s="7" t="s">
        <v>263</v>
      </c>
      <c r="E130" s="8" t="n">
        <v>64</v>
      </c>
      <c r="F130" s="8" t="n">
        <v>64</v>
      </c>
      <c r="G130" s="8" t="n">
        <v>72</v>
      </c>
      <c r="H130" s="8" t="n">
        <v>100</v>
      </c>
      <c r="I130" s="8" t="n">
        <v>32</v>
      </c>
      <c r="J130" s="9" t="n">
        <f aca="false">ROUND((E130*$O$2+F130*$O$3+G130*$O$4+H130*$O$5+I130*$O$6)/SUM($O$2:$O$6),0)</f>
        <v>70</v>
      </c>
      <c r="K130" s="6" t="str">
        <f aca="false">IF(J130&gt;=80,"Tier 1",IF(J130&gt;=60,"Tier 2","Tier 3"))</f>
        <v>Tier 2</v>
      </c>
      <c r="L130" s="6" t="s">
        <v>17</v>
      </c>
    </row>
    <row r="131" customFormat="false" ht="15" hidden="false" customHeight="false" outlineLevel="0" collapsed="false">
      <c r="A131" s="5" t="s">
        <v>286</v>
      </c>
      <c r="B131" s="6" t="s">
        <v>287</v>
      </c>
      <c r="C131" s="7" t="s">
        <v>288</v>
      </c>
      <c r="D131" s="7" t="s">
        <v>288</v>
      </c>
      <c r="E131" s="8" t="n">
        <v>86</v>
      </c>
      <c r="F131" s="8" t="n">
        <v>82</v>
      </c>
      <c r="G131" s="8" t="n">
        <v>90</v>
      </c>
      <c r="H131" s="8" t="n">
        <v>84</v>
      </c>
      <c r="I131" s="8" t="n">
        <v>52</v>
      </c>
      <c r="J131" s="9" t="n">
        <f aca="false">ROUND((E131*$O$2+F131*$O$3+G131*$O$4+H131*$O$5+I131*$O$6)/SUM($O$2:$O$6),0)</f>
        <v>82</v>
      </c>
      <c r="K131" s="6" t="str">
        <f aca="false">IF(J131&gt;=80,"Tier 1",IF(J131&gt;=60,"Tier 2","Tier 3"))</f>
        <v>Tier 1</v>
      </c>
      <c r="L131" s="6" t="s">
        <v>17</v>
      </c>
    </row>
    <row r="132" customFormat="false" ht="15" hidden="false" customHeight="false" outlineLevel="0" collapsed="false">
      <c r="A132" s="5" t="s">
        <v>289</v>
      </c>
      <c r="B132" s="6" t="s">
        <v>290</v>
      </c>
      <c r="C132" s="7" t="s">
        <v>288</v>
      </c>
      <c r="D132" s="7" t="s">
        <v>288</v>
      </c>
      <c r="E132" s="8" t="n">
        <v>80</v>
      </c>
      <c r="F132" s="8" t="n">
        <v>74</v>
      </c>
      <c r="G132" s="8" t="n">
        <v>86</v>
      </c>
      <c r="H132" s="8" t="n">
        <v>84</v>
      </c>
      <c r="I132" s="8" t="n">
        <v>44</v>
      </c>
      <c r="J132" s="9" t="n">
        <f aca="false">ROUND((E132*$O$2+F132*$O$3+G132*$O$4+H132*$O$5+I132*$O$6)/SUM($O$2:$O$6),0)</f>
        <v>77</v>
      </c>
      <c r="K132" s="6" t="str">
        <f aca="false">IF(J132&gt;=80,"Tier 1",IF(J132&gt;=60,"Tier 2","Tier 3"))</f>
        <v>Tier 2</v>
      </c>
      <c r="L132" s="6" t="s">
        <v>17</v>
      </c>
    </row>
    <row r="133" customFormat="false" ht="15" hidden="false" customHeight="false" outlineLevel="0" collapsed="false">
      <c r="A133" s="5" t="s">
        <v>291</v>
      </c>
      <c r="B133" s="6" t="s">
        <v>292</v>
      </c>
      <c r="C133" s="7" t="s">
        <v>288</v>
      </c>
      <c r="D133" s="7" t="s">
        <v>288</v>
      </c>
      <c r="E133" s="8" t="n">
        <v>80</v>
      </c>
      <c r="F133" s="8" t="n">
        <v>74</v>
      </c>
      <c r="G133" s="8" t="n">
        <v>86</v>
      </c>
      <c r="H133" s="8" t="n">
        <v>84</v>
      </c>
      <c r="I133" s="8" t="n">
        <v>44</v>
      </c>
      <c r="J133" s="9" t="n">
        <f aca="false">ROUND((E133*$O$2+F133*$O$3+G133*$O$4+H133*$O$5+I133*$O$6)/SUM($O$2:$O$6),0)</f>
        <v>77</v>
      </c>
      <c r="K133" s="6" t="str">
        <f aca="false">IF(J133&gt;=80,"Tier 1",IF(J133&gt;=60,"Tier 2","Tier 3"))</f>
        <v>Tier 2</v>
      </c>
      <c r="L133" s="6" t="s">
        <v>17</v>
      </c>
    </row>
    <row r="134" customFormat="false" ht="15" hidden="false" customHeight="false" outlineLevel="0" collapsed="false">
      <c r="A134" s="5" t="s">
        <v>293</v>
      </c>
      <c r="B134" s="6" t="s">
        <v>294</v>
      </c>
      <c r="C134" s="7" t="s">
        <v>288</v>
      </c>
      <c r="D134" s="7" t="s">
        <v>288</v>
      </c>
      <c r="E134" s="8" t="n">
        <v>72</v>
      </c>
      <c r="F134" s="8" t="n">
        <v>66</v>
      </c>
      <c r="G134" s="8" t="n">
        <v>82</v>
      </c>
      <c r="H134" s="8" t="n">
        <v>84</v>
      </c>
      <c r="I134" s="8" t="n">
        <v>40</v>
      </c>
      <c r="J134" s="9" t="n">
        <f aca="false">ROUND((E134*$O$2+F134*$O$3+G134*$O$4+H134*$O$5+I134*$O$6)/SUM($O$2:$O$6),0)</f>
        <v>72</v>
      </c>
      <c r="K134" s="6" t="str">
        <f aca="false">IF(J134&gt;=80,"Tier 1",IF(J134&gt;=60,"Tier 2","Tier 3"))</f>
        <v>Tier 2</v>
      </c>
      <c r="L134" s="6" t="s">
        <v>17</v>
      </c>
    </row>
    <row r="135" customFormat="false" ht="15" hidden="false" customHeight="false" outlineLevel="0" collapsed="false">
      <c r="A135" s="5" t="s">
        <v>295</v>
      </c>
      <c r="B135" s="6" t="s">
        <v>296</v>
      </c>
      <c r="C135" s="7" t="s">
        <v>288</v>
      </c>
      <c r="D135" s="7" t="s">
        <v>288</v>
      </c>
      <c r="E135" s="8" t="n">
        <v>72</v>
      </c>
      <c r="F135" s="8" t="n">
        <v>66</v>
      </c>
      <c r="G135" s="8" t="n">
        <v>82</v>
      </c>
      <c r="H135" s="8" t="n">
        <v>84</v>
      </c>
      <c r="I135" s="8" t="n">
        <v>40</v>
      </c>
      <c r="J135" s="9" t="n">
        <f aca="false">ROUND((E135*$O$2+F135*$O$3+G135*$O$4+H135*$O$5+I135*$O$6)/SUM($O$2:$O$6),0)</f>
        <v>72</v>
      </c>
      <c r="K135" s="6" t="str">
        <f aca="false">IF(J135&gt;=80,"Tier 1",IF(J135&gt;=60,"Tier 2","Tier 3"))</f>
        <v>Tier 2</v>
      </c>
      <c r="L135" s="6" t="s">
        <v>17</v>
      </c>
    </row>
    <row r="136" customFormat="false" ht="15" hidden="false" customHeight="false" outlineLevel="0" collapsed="false">
      <c r="A136" s="5" t="s">
        <v>297</v>
      </c>
      <c r="B136" s="6" t="s">
        <v>298</v>
      </c>
      <c r="C136" s="7" t="s">
        <v>288</v>
      </c>
      <c r="D136" s="7" t="s">
        <v>288</v>
      </c>
      <c r="E136" s="8" t="n">
        <v>72</v>
      </c>
      <c r="F136" s="8" t="n">
        <v>66</v>
      </c>
      <c r="G136" s="8" t="n">
        <v>82</v>
      </c>
      <c r="H136" s="8" t="n">
        <v>47</v>
      </c>
      <c r="I136" s="8" t="n">
        <v>40</v>
      </c>
      <c r="J136" s="9" t="n">
        <f aca="false">ROUND((E136*$O$2+F136*$O$3+G136*$O$4+H136*$O$5+I136*$O$6)/SUM($O$2:$O$6),0)</f>
        <v>64</v>
      </c>
      <c r="K136" s="6" t="str">
        <f aca="false">IF(J136&gt;=80,"Tier 1",IF(J136&gt;=60,"Tier 2","Tier 3"))</f>
        <v>Tier 2</v>
      </c>
      <c r="L136" s="6" t="s">
        <v>17</v>
      </c>
    </row>
    <row r="137" customFormat="false" ht="15" hidden="false" customHeight="false" outlineLevel="0" collapsed="false">
      <c r="A137" s="5" t="s">
        <v>299</v>
      </c>
      <c r="B137" s="6" t="s">
        <v>300</v>
      </c>
      <c r="C137" s="7" t="s">
        <v>288</v>
      </c>
      <c r="D137" s="7" t="s">
        <v>288</v>
      </c>
      <c r="E137" s="8" t="n">
        <v>80</v>
      </c>
      <c r="F137" s="8" t="n">
        <v>74</v>
      </c>
      <c r="G137" s="8" t="n">
        <v>86</v>
      </c>
      <c r="H137" s="8" t="n">
        <v>84</v>
      </c>
      <c r="I137" s="8" t="n">
        <v>44</v>
      </c>
      <c r="J137" s="9" t="n">
        <f aca="false">ROUND((E137*$O$2+F137*$O$3+G137*$O$4+H137*$O$5+I137*$O$6)/SUM($O$2:$O$6),0)</f>
        <v>77</v>
      </c>
      <c r="K137" s="6" t="str">
        <f aca="false">IF(J137&gt;=80,"Tier 1",IF(J137&gt;=60,"Tier 2","Tier 3"))</f>
        <v>Tier 2</v>
      </c>
      <c r="L137" s="6" t="s">
        <v>17</v>
      </c>
    </row>
    <row r="138" customFormat="false" ht="15" hidden="false" customHeight="false" outlineLevel="0" collapsed="false">
      <c r="A138" s="5" t="s">
        <v>301</v>
      </c>
      <c r="B138" s="6" t="s">
        <v>302</v>
      </c>
      <c r="C138" s="7" t="s">
        <v>288</v>
      </c>
      <c r="D138" s="7" t="s">
        <v>288</v>
      </c>
      <c r="E138" s="8" t="n">
        <v>86</v>
      </c>
      <c r="F138" s="8" t="n">
        <v>82</v>
      </c>
      <c r="G138" s="8" t="n">
        <v>90</v>
      </c>
      <c r="H138" s="8" t="n">
        <v>84</v>
      </c>
      <c r="I138" s="8" t="n">
        <v>52</v>
      </c>
      <c r="J138" s="9" t="n">
        <f aca="false">ROUND((E138*$O$2+F138*$O$3+G138*$O$4+H138*$O$5+I138*$O$6)/SUM($O$2:$O$6),0)</f>
        <v>82</v>
      </c>
      <c r="K138" s="6" t="str">
        <f aca="false">IF(J138&gt;=80,"Tier 1",IF(J138&gt;=60,"Tier 2","Tier 3"))</f>
        <v>Tier 1</v>
      </c>
      <c r="L138" s="6" t="s">
        <v>17</v>
      </c>
    </row>
    <row r="139" customFormat="false" ht="15" hidden="false" customHeight="false" outlineLevel="0" collapsed="false">
      <c r="A139" s="5" t="s">
        <v>303</v>
      </c>
      <c r="B139" s="6" t="s">
        <v>304</v>
      </c>
      <c r="C139" s="7" t="s">
        <v>305</v>
      </c>
      <c r="D139" s="7" t="s">
        <v>305</v>
      </c>
      <c r="E139" s="8" t="n">
        <v>60</v>
      </c>
      <c r="F139" s="8" t="n">
        <v>60</v>
      </c>
      <c r="G139" s="8" t="n">
        <v>66</v>
      </c>
      <c r="H139" s="8" t="n">
        <v>92</v>
      </c>
      <c r="I139" s="8" t="n">
        <v>40</v>
      </c>
      <c r="J139" s="9" t="n">
        <f aca="false">ROUND((E139*$O$2+F139*$O$3+G139*$O$4+H139*$O$5+I139*$O$6)/SUM($O$2:$O$6),0)</f>
        <v>66</v>
      </c>
      <c r="K139" s="6" t="str">
        <f aca="false">IF(J139&gt;=80,"Tier 1",IF(J139&gt;=60,"Tier 2","Tier 3"))</f>
        <v>Tier 2</v>
      </c>
      <c r="L139" s="6" t="s">
        <v>17</v>
      </c>
    </row>
    <row r="140" customFormat="false" ht="15" hidden="false" customHeight="false" outlineLevel="0" collapsed="false">
      <c r="A140" s="5" t="s">
        <v>306</v>
      </c>
      <c r="B140" s="6" t="s">
        <v>307</v>
      </c>
      <c r="C140" s="7" t="s">
        <v>305</v>
      </c>
      <c r="D140" s="7" t="s">
        <v>305</v>
      </c>
      <c r="E140" s="8" t="n">
        <v>60</v>
      </c>
      <c r="F140" s="8" t="n">
        <v>60</v>
      </c>
      <c r="G140" s="8" t="n">
        <v>66</v>
      </c>
      <c r="H140" s="8" t="n">
        <v>92</v>
      </c>
      <c r="I140" s="8" t="n">
        <v>40</v>
      </c>
      <c r="J140" s="9" t="n">
        <f aca="false">ROUND((E140*$O$2+F140*$O$3+G140*$O$4+H140*$O$5+I140*$O$6)/SUM($O$2:$O$6),0)</f>
        <v>66</v>
      </c>
      <c r="K140" s="6" t="str">
        <f aca="false">IF(J140&gt;=80,"Tier 1",IF(J140&gt;=60,"Tier 2","Tier 3"))</f>
        <v>Tier 2</v>
      </c>
      <c r="L140" s="6" t="s">
        <v>17</v>
      </c>
    </row>
    <row r="141" customFormat="false" ht="15" hidden="false" customHeight="false" outlineLevel="0" collapsed="false">
      <c r="A141" s="5" t="s">
        <v>308</v>
      </c>
      <c r="B141" s="6" t="s">
        <v>309</v>
      </c>
      <c r="C141" s="7" t="s">
        <v>305</v>
      </c>
      <c r="D141" s="7" t="s">
        <v>305</v>
      </c>
      <c r="E141" s="8" t="n">
        <v>60</v>
      </c>
      <c r="F141" s="8" t="n">
        <v>60</v>
      </c>
      <c r="G141" s="8" t="n">
        <v>66</v>
      </c>
      <c r="H141" s="8" t="n">
        <v>92</v>
      </c>
      <c r="I141" s="8" t="n">
        <v>40</v>
      </c>
      <c r="J141" s="9" t="n">
        <f aca="false">ROUND((E141*$O$2+F141*$O$3+G141*$O$4+H141*$O$5+I141*$O$6)/SUM($O$2:$O$6),0)</f>
        <v>66</v>
      </c>
      <c r="K141" s="6" t="str">
        <f aca="false">IF(J141&gt;=80,"Tier 1",IF(J141&gt;=60,"Tier 2","Tier 3"))</f>
        <v>Tier 2</v>
      </c>
      <c r="L141" s="6" t="s">
        <v>17</v>
      </c>
    </row>
    <row r="142" customFormat="false" ht="15" hidden="false" customHeight="false" outlineLevel="0" collapsed="false">
      <c r="A142" s="5" t="s">
        <v>310</v>
      </c>
      <c r="B142" s="6" t="s">
        <v>311</v>
      </c>
      <c r="C142" s="7" t="s">
        <v>305</v>
      </c>
      <c r="D142" s="7" t="s">
        <v>305</v>
      </c>
      <c r="E142" s="8" t="n">
        <v>68</v>
      </c>
      <c r="F142" s="8" t="n">
        <v>68</v>
      </c>
      <c r="G142" s="8" t="n">
        <v>70</v>
      </c>
      <c r="H142" s="8" t="n">
        <v>92</v>
      </c>
      <c r="I142" s="8" t="n">
        <v>44</v>
      </c>
      <c r="J142" s="9" t="n">
        <f aca="false">ROUND((E142*$O$2+F142*$O$3+G142*$O$4+H142*$O$5+I142*$O$6)/SUM($O$2:$O$6),0)</f>
        <v>71</v>
      </c>
      <c r="K142" s="6" t="str">
        <f aca="false">IF(J142&gt;=80,"Tier 1",IF(J142&gt;=60,"Tier 2","Tier 3"))</f>
        <v>Tier 2</v>
      </c>
      <c r="L142" s="6" t="s">
        <v>17</v>
      </c>
    </row>
    <row r="143" customFormat="false" ht="15" hidden="false" customHeight="false" outlineLevel="0" collapsed="false">
      <c r="A143" s="5" t="s">
        <v>312</v>
      </c>
      <c r="B143" s="6" t="s">
        <v>313</v>
      </c>
      <c r="C143" s="7" t="s">
        <v>305</v>
      </c>
      <c r="D143" s="7" t="s">
        <v>305</v>
      </c>
      <c r="E143" s="8" t="n">
        <v>68</v>
      </c>
      <c r="F143" s="8" t="n">
        <v>68</v>
      </c>
      <c r="G143" s="8" t="n">
        <v>70</v>
      </c>
      <c r="H143" s="8" t="n">
        <v>55</v>
      </c>
      <c r="I143" s="8" t="n">
        <v>44</v>
      </c>
      <c r="J143" s="9" t="n">
        <f aca="false">ROUND((E143*$O$2+F143*$O$3+G143*$O$4+H143*$O$5+I143*$O$6)/SUM($O$2:$O$6),0)</f>
        <v>63</v>
      </c>
      <c r="K143" s="6" t="str">
        <f aca="false">IF(J143&gt;=80,"Tier 1",IF(J143&gt;=60,"Tier 2","Tier 3"))</f>
        <v>Tier 2</v>
      </c>
      <c r="L143" s="6" t="s">
        <v>17</v>
      </c>
    </row>
    <row r="144" customFormat="false" ht="15" hidden="false" customHeight="false" outlineLevel="0" collapsed="false">
      <c r="A144" s="5" t="s">
        <v>314</v>
      </c>
      <c r="B144" s="6" t="s">
        <v>315</v>
      </c>
      <c r="C144" s="7" t="s">
        <v>305</v>
      </c>
      <c r="D144" s="7" t="s">
        <v>305</v>
      </c>
      <c r="E144" s="8" t="n">
        <v>60</v>
      </c>
      <c r="F144" s="8" t="n">
        <v>60</v>
      </c>
      <c r="G144" s="8" t="n">
        <v>66</v>
      </c>
      <c r="H144" s="8" t="n">
        <v>55</v>
      </c>
      <c r="I144" s="8" t="n">
        <v>40</v>
      </c>
      <c r="J144" s="9" t="n">
        <f aca="false">ROUND((E144*$O$2+F144*$O$3+G144*$O$4+H144*$O$5+I144*$O$6)/SUM($O$2:$O$6),0)</f>
        <v>58</v>
      </c>
      <c r="K144" s="6" t="str">
        <f aca="false">IF(J144&gt;=80,"Tier 1",IF(J144&gt;=60,"Tier 2","Tier 3"))</f>
        <v>Tier 3</v>
      </c>
      <c r="L144" s="6" t="s">
        <v>17</v>
      </c>
    </row>
    <row r="145" customFormat="false" ht="15" hidden="false" customHeight="false" outlineLevel="0" collapsed="false">
      <c r="A145" s="5" t="s">
        <v>316</v>
      </c>
      <c r="B145" s="6" t="s">
        <v>317</v>
      </c>
      <c r="C145" s="7" t="s">
        <v>305</v>
      </c>
      <c r="D145" s="7" t="s">
        <v>305</v>
      </c>
      <c r="E145" s="8" t="n">
        <v>60</v>
      </c>
      <c r="F145" s="8" t="n">
        <v>60</v>
      </c>
      <c r="G145" s="8" t="n">
        <v>66</v>
      </c>
      <c r="H145" s="8" t="n">
        <v>55</v>
      </c>
      <c r="I145" s="8" t="n">
        <v>40</v>
      </c>
      <c r="J145" s="9" t="n">
        <f aca="false">ROUND((E145*$O$2+F145*$O$3+G145*$O$4+H145*$O$5+I145*$O$6)/SUM($O$2:$O$6),0)</f>
        <v>58</v>
      </c>
      <c r="K145" s="6" t="str">
        <f aca="false">IF(J145&gt;=80,"Tier 1",IF(J145&gt;=60,"Tier 2","Tier 3"))</f>
        <v>Tier 3</v>
      </c>
      <c r="L145" s="6" t="s">
        <v>17</v>
      </c>
    </row>
    <row r="146" customFormat="false" ht="15" hidden="false" customHeight="false" outlineLevel="0" collapsed="false">
      <c r="A146" s="5" t="s">
        <v>318</v>
      </c>
      <c r="B146" s="6" t="s">
        <v>319</v>
      </c>
      <c r="C146" s="7" t="s">
        <v>305</v>
      </c>
      <c r="D146" s="7" t="s">
        <v>305</v>
      </c>
      <c r="E146" s="8" t="n">
        <v>60</v>
      </c>
      <c r="F146" s="8" t="n">
        <v>60</v>
      </c>
      <c r="G146" s="8" t="n">
        <v>66</v>
      </c>
      <c r="H146" s="8" t="n">
        <v>55</v>
      </c>
      <c r="I146" s="8" t="n">
        <v>40</v>
      </c>
      <c r="J146" s="9" t="n">
        <f aca="false">ROUND((E146*$O$2+F146*$O$3+G146*$O$4+H146*$O$5+I146*$O$6)/SUM($O$2:$O$6),0)</f>
        <v>58</v>
      </c>
      <c r="K146" s="6" t="str">
        <f aca="false">IF(J146&gt;=80,"Tier 1",IF(J146&gt;=60,"Tier 2","Tier 3"))</f>
        <v>Tier 3</v>
      </c>
      <c r="L146" s="6" t="s">
        <v>17</v>
      </c>
    </row>
    <row r="147" customFormat="false" ht="15" hidden="false" customHeight="false" outlineLevel="0" collapsed="false">
      <c r="A147" s="5" t="s">
        <v>320</v>
      </c>
      <c r="B147" s="6" t="s">
        <v>321</v>
      </c>
      <c r="C147" s="7" t="s">
        <v>305</v>
      </c>
      <c r="D147" s="7" t="s">
        <v>305</v>
      </c>
      <c r="E147" s="8" t="n">
        <v>68</v>
      </c>
      <c r="F147" s="8" t="n">
        <v>68</v>
      </c>
      <c r="G147" s="8" t="n">
        <v>70</v>
      </c>
      <c r="H147" s="8" t="n">
        <v>92</v>
      </c>
      <c r="I147" s="8" t="n">
        <v>44</v>
      </c>
      <c r="J147" s="9" t="n">
        <f aca="false">ROUND((E147*$O$2+F147*$O$3+G147*$O$4+H147*$O$5+I147*$O$6)/SUM($O$2:$O$6),0)</f>
        <v>71</v>
      </c>
      <c r="K147" s="6" t="str">
        <f aca="false">IF(J147&gt;=80,"Tier 1",IF(J147&gt;=60,"Tier 2","Tier 3"))</f>
        <v>Tier 2</v>
      </c>
      <c r="L147" s="6" t="s">
        <v>17</v>
      </c>
    </row>
    <row r="148" customFormat="false" ht="15" hidden="false" customHeight="false" outlineLevel="0" collapsed="false">
      <c r="A148" s="5" t="s">
        <v>322</v>
      </c>
      <c r="B148" s="6" t="s">
        <v>323</v>
      </c>
      <c r="C148" s="7" t="s">
        <v>305</v>
      </c>
      <c r="D148" s="7" t="s">
        <v>305</v>
      </c>
      <c r="E148" s="8" t="n">
        <v>60</v>
      </c>
      <c r="F148" s="8" t="n">
        <v>60</v>
      </c>
      <c r="G148" s="8" t="n">
        <v>66</v>
      </c>
      <c r="H148" s="8" t="n">
        <v>92</v>
      </c>
      <c r="I148" s="8" t="n">
        <v>40</v>
      </c>
      <c r="J148" s="9" t="n">
        <f aca="false">ROUND((E148*$O$2+F148*$O$3+G148*$O$4+H148*$O$5+I148*$O$6)/SUM($O$2:$O$6),0)</f>
        <v>66</v>
      </c>
      <c r="K148" s="6" t="str">
        <f aca="false">IF(J148&gt;=80,"Tier 1",IF(J148&gt;=60,"Tier 2","Tier 3"))</f>
        <v>Tier 2</v>
      </c>
      <c r="L148" s="6" t="s">
        <v>17</v>
      </c>
    </row>
    <row r="149" customFormat="false" ht="15" hidden="false" customHeight="false" outlineLevel="0" collapsed="false">
      <c r="A149" s="5" t="s">
        <v>324</v>
      </c>
      <c r="B149" s="6" t="s">
        <v>324</v>
      </c>
      <c r="C149" s="7" t="s">
        <v>325</v>
      </c>
      <c r="D149" s="7" t="s">
        <v>325</v>
      </c>
      <c r="E149" s="8" t="n">
        <v>72</v>
      </c>
      <c r="F149" s="8" t="n">
        <v>66</v>
      </c>
      <c r="G149" s="8" t="n">
        <v>76</v>
      </c>
      <c r="H149" s="8" t="n">
        <v>84</v>
      </c>
      <c r="I149" s="8" t="n">
        <v>44</v>
      </c>
      <c r="J149" s="9" t="n">
        <f aca="false">ROUND((E149*$O$2+F149*$O$3+G149*$O$4+H149*$O$5+I149*$O$6)/SUM($O$2:$O$6),0)</f>
        <v>71</v>
      </c>
      <c r="K149" s="6" t="str">
        <f aca="false">IF(J149&gt;=80,"Tier 1",IF(J149&gt;=60,"Tier 2","Tier 3"))</f>
        <v>Tier 2</v>
      </c>
      <c r="L149" s="6" t="s">
        <v>17</v>
      </c>
    </row>
    <row r="150" customFormat="false" ht="15" hidden="false" customHeight="false" outlineLevel="0" collapsed="false">
      <c r="A150" s="5" t="s">
        <v>326</v>
      </c>
      <c r="B150" s="6" t="s">
        <v>327</v>
      </c>
      <c r="C150" s="7" t="s">
        <v>325</v>
      </c>
      <c r="D150" s="7" t="s">
        <v>325</v>
      </c>
      <c r="E150" s="8" t="n">
        <v>72</v>
      </c>
      <c r="F150" s="8" t="n">
        <v>66</v>
      </c>
      <c r="G150" s="8" t="n">
        <v>76</v>
      </c>
      <c r="H150" s="8" t="n">
        <v>84</v>
      </c>
      <c r="I150" s="8" t="n">
        <v>44</v>
      </c>
      <c r="J150" s="9" t="n">
        <f aca="false">ROUND((E150*$O$2+F150*$O$3+G150*$O$4+H150*$O$5+I150*$O$6)/SUM($O$2:$O$6),0)</f>
        <v>71</v>
      </c>
      <c r="K150" s="6" t="str">
        <f aca="false">IF(J150&gt;=80,"Tier 1",IF(J150&gt;=60,"Tier 2","Tier 3"))</f>
        <v>Tier 2</v>
      </c>
      <c r="L150" s="6" t="s">
        <v>17</v>
      </c>
    </row>
    <row r="151" customFormat="false" ht="15" hidden="false" customHeight="false" outlineLevel="0" collapsed="false">
      <c r="A151" s="5" t="s">
        <v>328</v>
      </c>
      <c r="B151" s="6" t="s">
        <v>329</v>
      </c>
      <c r="C151" s="7" t="s">
        <v>325</v>
      </c>
      <c r="D151" s="7" t="s">
        <v>325</v>
      </c>
      <c r="E151" s="8" t="n">
        <v>64</v>
      </c>
      <c r="F151" s="8" t="n">
        <v>58</v>
      </c>
      <c r="G151" s="8" t="n">
        <v>72</v>
      </c>
      <c r="H151" s="8" t="n">
        <v>47</v>
      </c>
      <c r="I151" s="8" t="n">
        <v>40</v>
      </c>
      <c r="J151" s="9" t="n">
        <f aca="false">ROUND((E151*$O$2+F151*$O$3+G151*$O$4+H151*$O$5+I151*$O$6)/SUM($O$2:$O$6),0)</f>
        <v>58</v>
      </c>
      <c r="K151" s="6" t="str">
        <f aca="false">IF(J151&gt;=80,"Tier 1",IF(J151&gt;=60,"Tier 2","Tier 3"))</f>
        <v>Tier 3</v>
      </c>
      <c r="L151" s="6" t="s">
        <v>17</v>
      </c>
    </row>
    <row r="152" customFormat="false" ht="15" hidden="false" customHeight="false" outlineLevel="0" collapsed="false">
      <c r="A152" s="5" t="s">
        <v>330</v>
      </c>
      <c r="B152" s="6" t="s">
        <v>331</v>
      </c>
      <c r="C152" s="7" t="s">
        <v>325</v>
      </c>
      <c r="D152" s="7" t="s">
        <v>325</v>
      </c>
      <c r="E152" s="8" t="n">
        <v>64</v>
      </c>
      <c r="F152" s="8" t="n">
        <v>58</v>
      </c>
      <c r="G152" s="8" t="n">
        <v>72</v>
      </c>
      <c r="H152" s="8" t="n">
        <v>84</v>
      </c>
      <c r="I152" s="8" t="n">
        <v>40</v>
      </c>
      <c r="J152" s="9" t="n">
        <f aca="false">ROUND((E152*$O$2+F152*$O$3+G152*$O$4+H152*$O$5+I152*$O$6)/SUM($O$2:$O$6),0)</f>
        <v>66</v>
      </c>
      <c r="K152" s="6" t="str">
        <f aca="false">IF(J152&gt;=80,"Tier 1",IF(J152&gt;=60,"Tier 2","Tier 3"))</f>
        <v>Tier 2</v>
      </c>
      <c r="L152" s="6" t="s">
        <v>17</v>
      </c>
    </row>
    <row r="153" customFormat="false" ht="15" hidden="false" customHeight="false" outlineLevel="0" collapsed="false">
      <c r="A153" s="5" t="s">
        <v>332</v>
      </c>
      <c r="B153" s="6" t="s">
        <v>333</v>
      </c>
      <c r="C153" s="7" t="s">
        <v>325</v>
      </c>
      <c r="D153" s="7" t="s">
        <v>325</v>
      </c>
      <c r="E153" s="8" t="n">
        <v>64</v>
      </c>
      <c r="F153" s="8" t="n">
        <v>58</v>
      </c>
      <c r="G153" s="8" t="n">
        <v>72</v>
      </c>
      <c r="H153" s="8" t="n">
        <v>84</v>
      </c>
      <c r="I153" s="8" t="n">
        <v>40</v>
      </c>
      <c r="J153" s="9" t="n">
        <f aca="false">ROUND((E153*$O$2+F153*$O$3+G153*$O$4+H153*$O$5+I153*$O$6)/SUM($O$2:$O$6),0)</f>
        <v>66</v>
      </c>
      <c r="K153" s="6" t="str">
        <f aca="false">IF(J153&gt;=80,"Tier 1",IF(J153&gt;=60,"Tier 2","Tier 3"))</f>
        <v>Tier 2</v>
      </c>
      <c r="L153" s="6" t="s">
        <v>17</v>
      </c>
    </row>
    <row r="154" customFormat="false" ht="15" hidden="false" customHeight="false" outlineLevel="0" collapsed="false">
      <c r="A154" s="5" t="s">
        <v>334</v>
      </c>
      <c r="B154" s="6" t="s">
        <v>335</v>
      </c>
      <c r="C154" s="7" t="s">
        <v>325</v>
      </c>
      <c r="D154" s="7" t="s">
        <v>325</v>
      </c>
      <c r="E154" s="8" t="n">
        <v>64</v>
      </c>
      <c r="F154" s="8" t="n">
        <v>58</v>
      </c>
      <c r="G154" s="8" t="n">
        <v>72</v>
      </c>
      <c r="H154" s="8" t="n">
        <v>84</v>
      </c>
      <c r="I154" s="8" t="n">
        <v>40</v>
      </c>
      <c r="J154" s="9" t="n">
        <f aca="false">ROUND((E154*$O$2+F154*$O$3+G154*$O$4+H154*$O$5+I154*$O$6)/SUM($O$2:$O$6),0)</f>
        <v>66</v>
      </c>
      <c r="K154" s="6" t="str">
        <f aca="false">IF(J154&gt;=80,"Tier 1",IF(J154&gt;=60,"Tier 2","Tier 3"))</f>
        <v>Tier 2</v>
      </c>
      <c r="L154" s="6" t="s">
        <v>17</v>
      </c>
    </row>
    <row r="155" customFormat="false" ht="15" hidden="false" customHeight="false" outlineLevel="0" collapsed="false">
      <c r="A155" s="5" t="s">
        <v>336</v>
      </c>
      <c r="B155" s="6" t="s">
        <v>337</v>
      </c>
      <c r="C155" s="7" t="s">
        <v>325</v>
      </c>
      <c r="D155" s="7" t="s">
        <v>325</v>
      </c>
      <c r="E155" s="8" t="n">
        <v>64</v>
      </c>
      <c r="F155" s="8" t="n">
        <v>58</v>
      </c>
      <c r="G155" s="8" t="n">
        <v>72</v>
      </c>
      <c r="H155" s="8" t="n">
        <v>84</v>
      </c>
      <c r="I155" s="8" t="n">
        <v>40</v>
      </c>
      <c r="J155" s="9" t="n">
        <f aca="false">ROUND((E155*$O$2+F155*$O$3+G155*$O$4+H155*$O$5+I155*$O$6)/SUM($O$2:$O$6),0)</f>
        <v>66</v>
      </c>
      <c r="K155" s="6" t="str">
        <f aca="false">IF(J155&gt;=80,"Tier 1",IF(J155&gt;=60,"Tier 2","Tier 3"))</f>
        <v>Tier 2</v>
      </c>
      <c r="L155" s="6" t="s">
        <v>17</v>
      </c>
    </row>
    <row r="156" customFormat="false" ht="15" hidden="false" customHeight="false" outlineLevel="0" collapsed="false">
      <c r="A156" s="5" t="s">
        <v>338</v>
      </c>
      <c r="B156" s="6" t="s">
        <v>339</v>
      </c>
      <c r="C156" s="7" t="s">
        <v>325</v>
      </c>
      <c r="D156" s="7" t="s">
        <v>325</v>
      </c>
      <c r="E156" s="8" t="n">
        <v>64</v>
      </c>
      <c r="F156" s="8" t="n">
        <v>58</v>
      </c>
      <c r="G156" s="8" t="n">
        <v>72</v>
      </c>
      <c r="H156" s="8" t="n">
        <v>47</v>
      </c>
      <c r="I156" s="8" t="n">
        <v>40</v>
      </c>
      <c r="J156" s="9" t="n">
        <f aca="false">ROUND((E156*$O$2+F156*$O$3+G156*$O$4+H156*$O$5+I156*$O$6)/SUM($O$2:$O$6),0)</f>
        <v>58</v>
      </c>
      <c r="K156" s="6" t="str">
        <f aca="false">IF(J156&gt;=80,"Tier 1",IF(J156&gt;=60,"Tier 2","Tier 3"))</f>
        <v>Tier 3</v>
      </c>
      <c r="L156" s="6" t="s">
        <v>17</v>
      </c>
    </row>
    <row r="157" customFormat="false" ht="15" hidden="false" customHeight="false" outlineLevel="0" collapsed="false">
      <c r="A157" s="5" t="s">
        <v>340</v>
      </c>
      <c r="B157" s="6" t="s">
        <v>341</v>
      </c>
      <c r="C157" s="7" t="s">
        <v>342</v>
      </c>
      <c r="D157" s="7" t="s">
        <v>342</v>
      </c>
      <c r="E157" s="8" t="n">
        <v>88</v>
      </c>
      <c r="F157" s="8" t="n">
        <v>88</v>
      </c>
      <c r="G157" s="8" t="n">
        <v>88</v>
      </c>
      <c r="H157" s="8" t="n">
        <v>94</v>
      </c>
      <c r="I157" s="8" t="n">
        <v>50</v>
      </c>
      <c r="J157" s="9" t="n">
        <f aca="false">ROUND((E157*$O$2+F157*$O$3+G157*$O$4+H157*$O$5+I157*$O$6)/SUM($O$2:$O$6),0)</f>
        <v>85</v>
      </c>
      <c r="K157" s="6" t="str">
        <f aca="false">IF(J157&gt;=80,"Tier 1",IF(J157&gt;=60,"Tier 2","Tier 3"))</f>
        <v>Tier 1</v>
      </c>
      <c r="L157" s="6" t="s">
        <v>17</v>
      </c>
    </row>
    <row r="158" customFormat="false" ht="15" hidden="false" customHeight="false" outlineLevel="0" collapsed="false">
      <c r="A158" s="5" t="s">
        <v>343</v>
      </c>
      <c r="B158" s="6" t="s">
        <v>344</v>
      </c>
      <c r="C158" s="7" t="s">
        <v>342</v>
      </c>
      <c r="D158" s="7" t="s">
        <v>342</v>
      </c>
      <c r="E158" s="8" t="n">
        <v>82</v>
      </c>
      <c r="F158" s="8" t="n">
        <v>80</v>
      </c>
      <c r="G158" s="8" t="n">
        <v>84</v>
      </c>
      <c r="H158" s="8" t="n">
        <v>94</v>
      </c>
      <c r="I158" s="8" t="n">
        <v>42</v>
      </c>
      <c r="J158" s="9" t="n">
        <f aca="false">ROUND((E158*$O$2+F158*$O$3+G158*$O$4+H158*$O$5+I158*$O$6)/SUM($O$2:$O$6),0)</f>
        <v>80</v>
      </c>
      <c r="K158" s="6" t="str">
        <f aca="false">IF(J158&gt;=80,"Tier 1",IF(J158&gt;=60,"Tier 2","Tier 3"))</f>
        <v>Tier 1</v>
      </c>
      <c r="L158" s="6" t="s">
        <v>17</v>
      </c>
    </row>
    <row r="159" customFormat="false" ht="15" hidden="false" customHeight="false" outlineLevel="0" collapsed="false">
      <c r="A159" s="5" t="s">
        <v>345</v>
      </c>
      <c r="B159" s="6" t="s">
        <v>346</v>
      </c>
      <c r="C159" s="7" t="s">
        <v>342</v>
      </c>
      <c r="D159" s="7" t="s">
        <v>342</v>
      </c>
      <c r="E159" s="8" t="n">
        <v>82</v>
      </c>
      <c r="F159" s="8" t="n">
        <v>80</v>
      </c>
      <c r="G159" s="8" t="n">
        <v>84</v>
      </c>
      <c r="H159" s="8" t="n">
        <v>94</v>
      </c>
      <c r="I159" s="8" t="n">
        <v>42</v>
      </c>
      <c r="J159" s="9" t="n">
        <f aca="false">ROUND((E159*$O$2+F159*$O$3+G159*$O$4+H159*$O$5+I159*$O$6)/SUM($O$2:$O$6),0)</f>
        <v>80</v>
      </c>
      <c r="K159" s="6" t="str">
        <f aca="false">IF(J159&gt;=80,"Tier 1",IF(J159&gt;=60,"Tier 2","Tier 3"))</f>
        <v>Tier 1</v>
      </c>
      <c r="L159" s="6" t="s">
        <v>17</v>
      </c>
    </row>
    <row r="160" customFormat="false" ht="15" hidden="false" customHeight="false" outlineLevel="0" collapsed="false">
      <c r="A160" s="5" t="s">
        <v>347</v>
      </c>
      <c r="B160" s="6" t="s">
        <v>348</v>
      </c>
      <c r="C160" s="7" t="s">
        <v>342</v>
      </c>
      <c r="D160" s="7" t="s">
        <v>342</v>
      </c>
      <c r="E160" s="8" t="n">
        <v>82</v>
      </c>
      <c r="F160" s="8" t="n">
        <v>80</v>
      </c>
      <c r="G160" s="8" t="n">
        <v>84</v>
      </c>
      <c r="H160" s="8" t="n">
        <v>94</v>
      </c>
      <c r="I160" s="8" t="n">
        <v>42</v>
      </c>
      <c r="J160" s="9" t="n">
        <f aca="false">ROUND((E160*$O$2+F160*$O$3+G160*$O$4+H160*$O$5+I160*$O$6)/SUM($O$2:$O$6),0)</f>
        <v>80</v>
      </c>
      <c r="K160" s="6" t="str">
        <f aca="false">IF(J160&gt;=80,"Tier 1",IF(J160&gt;=60,"Tier 2","Tier 3"))</f>
        <v>Tier 1</v>
      </c>
      <c r="L160" s="6" t="s">
        <v>17</v>
      </c>
    </row>
    <row r="161" customFormat="false" ht="15" hidden="false" customHeight="false" outlineLevel="0" collapsed="false">
      <c r="A161" s="5" t="s">
        <v>349</v>
      </c>
      <c r="B161" s="6" t="s">
        <v>350</v>
      </c>
      <c r="C161" s="7" t="s">
        <v>342</v>
      </c>
      <c r="D161" s="7" t="s">
        <v>342</v>
      </c>
      <c r="E161" s="8" t="n">
        <v>82</v>
      </c>
      <c r="F161" s="8" t="n">
        <v>80</v>
      </c>
      <c r="G161" s="8" t="n">
        <v>84</v>
      </c>
      <c r="H161" s="8" t="n">
        <v>94</v>
      </c>
      <c r="I161" s="8" t="n">
        <v>42</v>
      </c>
      <c r="J161" s="9" t="n">
        <f aca="false">ROUND((E161*$O$2+F161*$O$3+G161*$O$4+H161*$O$5+I161*$O$6)/SUM($O$2:$O$6),0)</f>
        <v>80</v>
      </c>
      <c r="K161" s="6" t="str">
        <f aca="false">IF(J161&gt;=80,"Tier 1",IF(J161&gt;=60,"Tier 2","Tier 3"))</f>
        <v>Tier 1</v>
      </c>
      <c r="L161" s="6" t="s">
        <v>17</v>
      </c>
    </row>
    <row r="162" customFormat="false" ht="15" hidden="false" customHeight="false" outlineLevel="0" collapsed="false">
      <c r="A162" s="5" t="s">
        <v>351</v>
      </c>
      <c r="B162" s="6" t="s">
        <v>352</v>
      </c>
      <c r="C162" s="7" t="s">
        <v>342</v>
      </c>
      <c r="D162" s="7" t="s">
        <v>342</v>
      </c>
      <c r="E162" s="8" t="n">
        <v>88</v>
      </c>
      <c r="F162" s="8" t="n">
        <v>88</v>
      </c>
      <c r="G162" s="8" t="n">
        <v>88</v>
      </c>
      <c r="H162" s="8" t="n">
        <v>94</v>
      </c>
      <c r="I162" s="8" t="n">
        <v>50</v>
      </c>
      <c r="J162" s="9" t="n">
        <f aca="false">ROUND((E162*$O$2+F162*$O$3+G162*$O$4+H162*$O$5+I162*$O$6)/SUM($O$2:$O$6),0)</f>
        <v>85</v>
      </c>
      <c r="K162" s="6" t="str">
        <f aca="false">IF(J162&gt;=80,"Tier 1",IF(J162&gt;=60,"Tier 2","Tier 3"))</f>
        <v>Tier 1</v>
      </c>
      <c r="L162" s="6" t="s">
        <v>17</v>
      </c>
    </row>
  </sheetData>
  <conditionalFormatting sqref="J2:J162">
    <cfRule type="dataBar" priority="2">
      <dataBar showValue="1" minLength="10" maxLength="90">
        <cfvo type="num" val="0"/>
        <cfvo type="num" val="100"/>
        <color rgb="FF0EAE9E"/>
      </dataBar>
      <extLst>
        <ext xmlns:x14="http://schemas.microsoft.com/office/spreadsheetml/2009/9/main" uri="{B025F937-C7B1-47D3-B67F-A62EFF666E3E}">
          <x14:id>{70299D8A-671A-45A0-B830-E652E591DE4E}</x14:id>
        </ext>
      </extLst>
    </cfRule>
  </conditionalFormatting>
  <conditionalFormatting sqref="K2:K162">
    <cfRule type="cellIs" priority="3" operator="equal" aboveAverage="0" equalAverage="0" bottom="0" percent="0" rank="0" text="" dxfId="10">
      <formula>"Tier 1"</formula>
    </cfRule>
    <cfRule type="cellIs" priority="4" operator="equal" aboveAverage="0" equalAverage="0" bottom="0" percent="0" rank="0" text="" dxfId="11">
      <formula>"Tier 2"</formula>
    </cfRule>
    <cfRule type="cellIs" priority="5" operator="equal" aboveAverage="0" equalAverage="0" bottom="0" percent="0" rank="0" text="" dxfId="12">
      <formula>"Tier 3"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99D8A-671A-45A0-B830-E652E591DE4E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0EAE9E"/>
              <x14:axisColor rgb="FF000000"/>
            </x14:dataBar>
          </x14:cfRule>
          <xm:sqref>J2:J162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3"/>
  </cols>
  <sheetData>
    <row r="1" customFormat="false" ht="18.55" hidden="false" customHeight="false" outlineLevel="0" collapsed="false">
      <c r="A1" s="13" t="s">
        <v>353</v>
      </c>
    </row>
    <row r="2" customFormat="false" ht="15" hidden="false" customHeight="false" outlineLevel="0" collapsed="false">
      <c r="A2" s="14" t="s">
        <v>354</v>
      </c>
    </row>
    <row r="4" customFormat="false" ht="15" hidden="false" customHeight="false" outlineLevel="0" collapsed="false">
      <c r="A4" s="15" t="s">
        <v>2</v>
      </c>
      <c r="B4" s="3" t="s">
        <v>355</v>
      </c>
      <c r="C4" s="3" t="s">
        <v>356</v>
      </c>
      <c r="D4" s="3" t="s">
        <v>357</v>
      </c>
    </row>
    <row r="5" customFormat="false" ht="15" hidden="false" customHeight="false" outlineLevel="0" collapsed="false">
      <c r="A5" s="5" t="s">
        <v>15</v>
      </c>
      <c r="B5" s="16" t="n">
        <f aca="false">ROUND(AVERAGEIF('Account Scoring'!$C$2:$C$162,A5,'Account Scoring'!$J$2:$J$162),0)</f>
        <v>89</v>
      </c>
      <c r="C5" s="16" t="n">
        <f aca="false">COUNTIF('Account Scoring'!$C$2:$C$162,A5)</f>
        <v>30</v>
      </c>
      <c r="D5" s="16" t="n">
        <f aca="false">COUNTIFS('Account Scoring'!$C$2:$C$162,A5,'Account Scoring'!$K$2:$K$162,"Tier 1")</f>
        <v>28</v>
      </c>
    </row>
    <row r="6" customFormat="false" ht="15" hidden="false" customHeight="false" outlineLevel="0" collapsed="false">
      <c r="A6" s="5" t="s">
        <v>78</v>
      </c>
      <c r="B6" s="16" t="n">
        <f aca="false">ROUND(AVERAGEIF('Account Scoring'!$C$2:$C$162,A6,'Account Scoring'!$J$2:$J$162),0)</f>
        <v>75</v>
      </c>
      <c r="C6" s="16" t="n">
        <f aca="false">COUNTIF('Account Scoring'!$C$2:$C$162,A6)</f>
        <v>29</v>
      </c>
      <c r="D6" s="16" t="n">
        <f aca="false">COUNTIFS('Account Scoring'!$C$2:$C$162,A6,'Account Scoring'!$K$2:$K$162,"Tier 1")</f>
        <v>8</v>
      </c>
    </row>
    <row r="7" customFormat="false" ht="15" hidden="false" customHeight="false" outlineLevel="0" collapsed="false">
      <c r="A7" s="5" t="s">
        <v>139</v>
      </c>
      <c r="B7" s="16" t="n">
        <f aca="false">ROUND(AVERAGEIF('Account Scoring'!$C$2:$C$162,A7,'Account Scoring'!$J$2:$J$162),0)</f>
        <v>72</v>
      </c>
      <c r="C7" s="16" t="n">
        <f aca="false">COUNTIF('Account Scoring'!$C$2:$C$162,A7)</f>
        <v>22</v>
      </c>
      <c r="D7" s="16" t="n">
        <f aca="false">COUNTIFS('Account Scoring'!$C$2:$C$162,A7,'Account Scoring'!$K$2:$K$162,"Tier 1")</f>
        <v>2</v>
      </c>
    </row>
    <row r="8" customFormat="false" ht="15" hidden="false" customHeight="false" outlineLevel="0" collapsed="false">
      <c r="A8" s="5" t="s">
        <v>186</v>
      </c>
      <c r="B8" s="16" t="n">
        <f aca="false">ROUND(AVERAGEIF('Account Scoring'!$C$2:$C$162,A8,'Account Scoring'!$J$2:$J$162),0)</f>
        <v>74</v>
      </c>
      <c r="C8" s="16" t="n">
        <f aca="false">COUNTIF('Account Scoring'!$C$2:$C$162,A8)</f>
        <v>26</v>
      </c>
      <c r="D8" s="16" t="n">
        <f aca="false">COUNTIFS('Account Scoring'!$C$2:$C$162,A8,'Account Scoring'!$K$2:$K$162,"Tier 1")</f>
        <v>1</v>
      </c>
    </row>
    <row r="9" customFormat="false" ht="15" hidden="false" customHeight="false" outlineLevel="0" collapsed="false">
      <c r="A9" s="5" t="s">
        <v>241</v>
      </c>
      <c r="B9" s="16" t="n">
        <f aca="false">ROUND(AVERAGEIF('Account Scoring'!$C$2:$C$162,A9,'Account Scoring'!$J$2:$J$162),0)</f>
        <v>67</v>
      </c>
      <c r="C9" s="16" t="n">
        <f aca="false">COUNTIF('Account Scoring'!$C$2:$C$162,A9)</f>
        <v>22</v>
      </c>
      <c r="D9" s="16" t="n">
        <f aca="false">COUNTIFS('Account Scoring'!$C$2:$C$162,A9,'Account Scoring'!$K$2:$K$162,"Tier 1")</f>
        <v>0</v>
      </c>
    </row>
    <row r="10" customFormat="false" ht="15" hidden="false" customHeight="false" outlineLevel="0" collapsed="false">
      <c r="A10" s="5" t="s">
        <v>288</v>
      </c>
      <c r="B10" s="16" t="n">
        <f aca="false">ROUND(AVERAGEIF('Account Scoring'!$C$2:$C$162,A10,'Account Scoring'!$J$2:$J$162),0)</f>
        <v>75</v>
      </c>
      <c r="C10" s="16" t="n">
        <f aca="false">COUNTIF('Account Scoring'!$C$2:$C$162,A10)</f>
        <v>8</v>
      </c>
      <c r="D10" s="16" t="n">
        <f aca="false">COUNTIFS('Account Scoring'!$C$2:$C$162,A10,'Account Scoring'!$K$2:$K$162,"Tier 1")</f>
        <v>2</v>
      </c>
    </row>
    <row r="11" customFormat="false" ht="15" hidden="false" customHeight="false" outlineLevel="0" collapsed="false">
      <c r="A11" s="5" t="s">
        <v>305</v>
      </c>
      <c r="B11" s="16" t="n">
        <f aca="false">ROUND(AVERAGEIF('Account Scoring'!$C$2:$C$162,A11,'Account Scoring'!$J$2:$J$162),0)</f>
        <v>64</v>
      </c>
      <c r="C11" s="16" t="n">
        <f aca="false">COUNTIF('Account Scoring'!$C$2:$C$162,A11)</f>
        <v>10</v>
      </c>
      <c r="D11" s="16" t="n">
        <f aca="false">COUNTIFS('Account Scoring'!$C$2:$C$162,A11,'Account Scoring'!$K$2:$K$162,"Tier 1")</f>
        <v>0</v>
      </c>
    </row>
    <row r="12" customFormat="false" ht="15" hidden="false" customHeight="false" outlineLevel="0" collapsed="false">
      <c r="A12" s="5" t="s">
        <v>325</v>
      </c>
      <c r="B12" s="16" t="n">
        <f aca="false">ROUND(AVERAGEIF('Account Scoring'!$C$2:$C$162,A12,'Account Scoring'!$J$2:$J$162),0)</f>
        <v>65</v>
      </c>
      <c r="C12" s="16" t="n">
        <f aca="false">COUNTIF('Account Scoring'!$C$2:$C$162,A12)</f>
        <v>8</v>
      </c>
      <c r="D12" s="16" t="n">
        <f aca="false">COUNTIFS('Account Scoring'!$C$2:$C$162,A12,'Account Scoring'!$K$2:$K$162,"Tier 1")</f>
        <v>0</v>
      </c>
    </row>
    <row r="13" customFormat="false" ht="15" hidden="false" customHeight="false" outlineLevel="0" collapsed="false">
      <c r="A13" s="5" t="s">
        <v>342</v>
      </c>
      <c r="B13" s="16" t="n">
        <f aca="false">ROUND(AVERAGEIF('Account Scoring'!$C$2:$C$162,A13,'Account Scoring'!$J$2:$J$162),0)</f>
        <v>82</v>
      </c>
      <c r="C13" s="16" t="n">
        <f aca="false">COUNTIF('Account Scoring'!$C$2:$C$162,A13)</f>
        <v>6</v>
      </c>
      <c r="D13" s="16" t="n">
        <f aca="false">COUNTIFS('Account Scoring'!$C$2:$C$162,A13,'Account Scoring'!$K$2:$K$162,"Tier 1")</f>
        <v>6</v>
      </c>
    </row>
    <row r="16" customFormat="false" ht="15" hidden="false" customHeight="false" outlineLevel="0" collapsed="false">
      <c r="A16" s="17" t="s">
        <v>358</v>
      </c>
      <c r="B16" s="3" t="s">
        <v>356</v>
      </c>
    </row>
    <row r="17" customFormat="false" ht="15" hidden="false" customHeight="false" outlineLevel="0" collapsed="false">
      <c r="A17" s="18" t="s">
        <v>359</v>
      </c>
      <c r="B17" s="16" t="n">
        <f aca="false">COUNTIF('Account Scoring'!$K$2:$K$162,"Tier 1")</f>
        <v>47</v>
      </c>
    </row>
    <row r="18" customFormat="false" ht="15" hidden="false" customHeight="false" outlineLevel="0" collapsed="false">
      <c r="A18" s="19" t="s">
        <v>360</v>
      </c>
      <c r="B18" s="16" t="n">
        <f aca="false">COUNTIF('Account Scoring'!$K$2:$K$162,"Tier 2")</f>
        <v>100</v>
      </c>
    </row>
    <row r="19" customFormat="false" ht="15" hidden="false" customHeight="false" outlineLevel="0" collapsed="false">
      <c r="A19" s="20" t="s">
        <v>361</v>
      </c>
      <c r="B19" s="16" t="n">
        <f aca="false">COUNTIF('Account Scoring'!$K$2:$K$162,"Tier 3")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84"/>
  </cols>
  <sheetData>
    <row r="2" customFormat="false" ht="18.55" hidden="false" customHeight="false" outlineLevel="0" collapsed="false">
      <c r="B2" s="13" t="s">
        <v>362</v>
      </c>
    </row>
    <row r="4" customFormat="false" ht="15" hidden="false" customHeight="false" outlineLevel="0" collapsed="false">
      <c r="B4" s="21" t="s">
        <v>363</v>
      </c>
    </row>
    <row r="5" customFormat="false" ht="26.85" hidden="false" customHeight="false" outlineLevel="0" collapsed="false">
      <c r="B5" s="22" t="s">
        <v>364</v>
      </c>
      <c r="C5" s="23" t="s">
        <v>365</v>
      </c>
    </row>
    <row r="6" customFormat="false" ht="39.55" hidden="false" customHeight="false" outlineLevel="0" collapsed="false">
      <c r="B6" s="22" t="s">
        <v>366</v>
      </c>
      <c r="C6" s="23" t="s">
        <v>367</v>
      </c>
    </row>
    <row r="7" customFormat="false" ht="26.85" hidden="false" customHeight="false" outlineLevel="0" collapsed="false">
      <c r="B7" s="22" t="s">
        <v>368</v>
      </c>
      <c r="C7" s="23" t="s">
        <v>369</v>
      </c>
    </row>
    <row r="9" customFormat="false" ht="15" hidden="false" customHeight="false" outlineLevel="0" collapsed="false">
      <c r="B9" s="21" t="s">
        <v>370</v>
      </c>
    </row>
    <row r="10" customFormat="false" ht="15" hidden="false" customHeight="false" outlineLevel="0" collapsed="false">
      <c r="B10" s="22" t="s">
        <v>371</v>
      </c>
      <c r="C10" s="23" t="s">
        <v>372</v>
      </c>
    </row>
    <row r="11" customFormat="false" ht="15" hidden="false" customHeight="false" outlineLevel="0" collapsed="false">
      <c r="B11" s="22" t="s">
        <v>373</v>
      </c>
      <c r="C11" s="23" t="s">
        <v>374</v>
      </c>
    </row>
    <row r="12" customFormat="false" ht="15" hidden="false" customHeight="false" outlineLevel="0" collapsed="false">
      <c r="B12" s="22" t="s">
        <v>375</v>
      </c>
      <c r="C12" s="23" t="s">
        <v>376</v>
      </c>
    </row>
    <row r="13" customFormat="false" ht="15" hidden="false" customHeight="false" outlineLevel="0" collapsed="false">
      <c r="B13" s="22" t="s">
        <v>377</v>
      </c>
      <c r="C13" s="23" t="s">
        <v>378</v>
      </c>
    </row>
    <row r="14" customFormat="false" ht="15" hidden="false" customHeight="false" outlineLevel="0" collapsed="false">
      <c r="B14" s="22" t="s">
        <v>379</v>
      </c>
      <c r="C14" s="23" t="s">
        <v>380</v>
      </c>
    </row>
    <row r="15" customFormat="false" ht="15" hidden="false" customHeight="false" outlineLevel="0" collapsed="false">
      <c r="B15" s="22" t="s">
        <v>381</v>
      </c>
      <c r="C15" s="23" t="s">
        <v>382</v>
      </c>
    </row>
    <row r="17" customFormat="false" ht="15" hidden="false" customHeight="false" outlineLevel="0" collapsed="false">
      <c r="B17" s="21" t="s">
        <v>383</v>
      </c>
    </row>
    <row r="18" customFormat="false" ht="26.85" hidden="false" customHeight="false" outlineLevel="0" collapsed="false">
      <c r="B18" s="22" t="s">
        <v>384</v>
      </c>
      <c r="C18" s="23" t="s">
        <v>385</v>
      </c>
    </row>
    <row r="19" customFormat="false" ht="26.85" hidden="false" customHeight="false" outlineLevel="0" collapsed="false">
      <c r="B19" s="22" t="s">
        <v>386</v>
      </c>
      <c r="C19" s="23" t="s">
        <v>387</v>
      </c>
    </row>
    <row r="20" customFormat="false" ht="26.85" hidden="false" customHeight="false" outlineLevel="0" collapsed="false">
      <c r="B20" s="22" t="s">
        <v>388</v>
      </c>
      <c r="C20" s="23" t="s">
        <v>389</v>
      </c>
    </row>
    <row r="21" customFormat="false" ht="26.85" hidden="false" customHeight="false" outlineLevel="0" collapsed="false">
      <c r="B21" s="22" t="s">
        <v>390</v>
      </c>
      <c r="C21" s="23" t="s">
        <v>391</v>
      </c>
    </row>
    <row r="23" customFormat="false" ht="15" hidden="false" customHeight="false" outlineLevel="0" collapsed="false">
      <c r="B23" s="21" t="s">
        <v>392</v>
      </c>
    </row>
    <row r="24" customFormat="false" ht="26.85" hidden="false" customHeight="false" outlineLevel="0" collapsed="false">
      <c r="B24" s="22" t="s">
        <v>393</v>
      </c>
      <c r="C24" s="23" t="s">
        <v>394</v>
      </c>
    </row>
    <row r="25" customFormat="false" ht="15" hidden="false" customHeight="false" outlineLevel="0" collapsed="false">
      <c r="B25" s="22" t="s">
        <v>395</v>
      </c>
      <c r="C25" s="23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2026-06-25T16:50:00Z</dcterms:created>
  <dc:creator>openpyxl</dc:creator>
  <dc:description/>
  <dc:language>en-US</dc:language>
  <cp:lastModifiedBy/>
  <dcterms:modified xsi:type="dcterms:W3CDTF">2026-06-25T16:50:05Z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